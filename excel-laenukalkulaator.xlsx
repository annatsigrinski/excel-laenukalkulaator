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kumäe\OneDrive\Desktop\AnnaK\"/>
    </mc:Choice>
  </mc:AlternateContent>
  <xr:revisionPtr revIDLastSave="0" documentId="8_{8E4CA193-8C5E-4256-9990-B3CFE97EFC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sendid" sheetId="1" r:id="rId1"/>
    <sheet name="Maksegraafik" sheetId="2" r:id="rId2"/>
    <sheet name="Stsenaariumid" sheetId="3" r:id="rId3"/>
    <sheet name="Kokkuvõ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0" i="1"/>
  <c r="E8" i="3"/>
  <c r="D8" i="3"/>
  <c r="C8" i="3"/>
  <c r="F7" i="3"/>
  <c r="E7" i="3"/>
  <c r="D7" i="3"/>
  <c r="B7" i="3"/>
  <c r="C6" i="3"/>
  <c r="B6" i="3"/>
  <c r="F5" i="3"/>
  <c r="E5" i="3"/>
  <c r="D5" i="3"/>
  <c r="C5" i="3"/>
  <c r="F4" i="3"/>
  <c r="F6" i="3"/>
  <c r="F8" i="3"/>
  <c r="E6" i="3"/>
  <c r="E4" i="3"/>
  <c r="D4" i="3"/>
  <c r="C4" i="3"/>
  <c r="B4" i="3"/>
  <c r="J115" i="2"/>
  <c r="J116" i="2"/>
  <c r="J117" i="2"/>
  <c r="J118" i="2"/>
  <c r="J119" i="2"/>
  <c r="J120" i="2"/>
  <c r="J121" i="2"/>
  <c r="J122" i="2"/>
  <c r="J123" i="2"/>
  <c r="I115" i="2"/>
  <c r="I116" i="2"/>
  <c r="I117" i="2"/>
  <c r="I118" i="2"/>
  <c r="I119" i="2"/>
  <c r="I120" i="2"/>
  <c r="I121" i="2"/>
  <c r="I122" i="2"/>
  <c r="I123" i="2"/>
  <c r="H115" i="2"/>
  <c r="H116" i="2"/>
  <c r="H117" i="2"/>
  <c r="H118" i="2"/>
  <c r="H119" i="2"/>
  <c r="H120" i="2"/>
  <c r="H121" i="2"/>
  <c r="H122" i="2"/>
  <c r="H12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4" i="2"/>
  <c r="F115" i="2"/>
  <c r="F116" i="2"/>
  <c r="F117" i="2"/>
  <c r="F118" i="2"/>
  <c r="F119" i="2"/>
  <c r="F120" i="2"/>
  <c r="F121" i="2"/>
  <c r="F122" i="2"/>
  <c r="F123" i="2"/>
  <c r="E115" i="2"/>
  <c r="E116" i="2"/>
  <c r="E117" i="2"/>
  <c r="E118" i="2"/>
  <c r="E119" i="2"/>
  <c r="E120" i="2"/>
  <c r="E121" i="2"/>
  <c r="E122" i="2"/>
  <c r="E123" i="2"/>
  <c r="D115" i="2"/>
  <c r="D116" i="2"/>
  <c r="D117" i="2"/>
  <c r="D118" i="2"/>
  <c r="D119" i="2"/>
  <c r="D120" i="2"/>
  <c r="D121" i="2"/>
  <c r="D122" i="2"/>
  <c r="D123" i="2"/>
  <c r="C115" i="2"/>
  <c r="C116" i="2"/>
  <c r="C117" i="2"/>
  <c r="C118" i="2"/>
  <c r="C119" i="2"/>
  <c r="C120" i="2"/>
  <c r="C121" i="2"/>
  <c r="C122" i="2"/>
  <c r="C123" i="2"/>
  <c r="C4" i="2"/>
  <c r="E4" i="2" s="1"/>
  <c r="J4" i="2" s="1"/>
  <c r="B88" i="2"/>
  <c r="B91" i="2"/>
  <c r="B92" i="2"/>
  <c r="B93" i="2"/>
  <c r="B96" i="2"/>
  <c r="B97" i="2"/>
  <c r="B99" i="2"/>
  <c r="B101" i="2"/>
  <c r="B103" i="2"/>
  <c r="B104" i="2"/>
  <c r="B107" i="2"/>
  <c r="B108" i="2"/>
  <c r="B109" i="2"/>
  <c r="B112" i="2"/>
  <c r="B113" i="2"/>
  <c r="B115" i="2"/>
  <c r="B116" i="2"/>
  <c r="B117" i="2"/>
  <c r="B118" i="2"/>
  <c r="B119" i="2"/>
  <c r="B120" i="2"/>
  <c r="B121" i="2"/>
  <c r="B122" i="2"/>
  <c r="B123" i="2"/>
  <c r="B4" i="2"/>
  <c r="B35" i="2" s="1"/>
  <c r="B6" i="4"/>
  <c r="B5" i="4"/>
  <c r="B4" i="4"/>
  <c r="B15" i="1"/>
  <c r="D30" i="2" s="1"/>
  <c r="G7" i="3" l="1"/>
  <c r="H7" i="3" s="1"/>
  <c r="J7" i="3" s="1"/>
  <c r="G8" i="3"/>
  <c r="H8" i="3" s="1"/>
  <c r="I8" i="3" s="1"/>
  <c r="B75" i="2"/>
  <c r="B51" i="2"/>
  <c r="B87" i="2"/>
  <c r="B72" i="2"/>
  <c r="B44" i="2"/>
  <c r="B37" i="2"/>
  <c r="B81" i="2"/>
  <c r="B67" i="2"/>
  <c r="B80" i="2"/>
  <c r="B65" i="2"/>
  <c r="B85" i="2"/>
  <c r="B77" i="2"/>
  <c r="B71" i="2"/>
  <c r="B64" i="2"/>
  <c r="B83" i="2"/>
  <c r="B76" i="2"/>
  <c r="B69" i="2"/>
  <c r="B59" i="2"/>
  <c r="B61" i="2"/>
  <c r="B55" i="2"/>
  <c r="B48" i="2"/>
  <c r="B40" i="2"/>
  <c r="B33" i="2"/>
  <c r="B60" i="2"/>
  <c r="B53" i="2"/>
  <c r="B45" i="2"/>
  <c r="B39" i="2"/>
  <c r="B32" i="2"/>
  <c r="G4" i="3"/>
  <c r="H4" i="3" s="1"/>
  <c r="J4" i="3" s="1"/>
  <c r="B56" i="2"/>
  <c r="B49" i="2"/>
  <c r="B43" i="2"/>
  <c r="G6" i="3"/>
  <c r="H6" i="3" s="1"/>
  <c r="J6" i="3" s="1"/>
  <c r="G5" i="3"/>
  <c r="H5" i="3" s="1"/>
  <c r="J5" i="3" s="1"/>
  <c r="D113" i="2"/>
  <c r="D106" i="2"/>
  <c r="D100" i="2"/>
  <c r="D92" i="2"/>
  <c r="D85" i="2"/>
  <c r="D78" i="2"/>
  <c r="D70" i="2"/>
  <c r="D64" i="2"/>
  <c r="D57" i="2"/>
  <c r="D49" i="2"/>
  <c r="D42" i="2"/>
  <c r="D36" i="2"/>
  <c r="D23" i="2"/>
  <c r="D112" i="2"/>
  <c r="D105" i="2"/>
  <c r="D97" i="2"/>
  <c r="D90" i="2"/>
  <c r="D84" i="2"/>
  <c r="D76" i="2"/>
  <c r="D69" i="2"/>
  <c r="D62" i="2"/>
  <c r="D54" i="2"/>
  <c r="D48" i="2"/>
  <c r="D41" i="2"/>
  <c r="D33" i="2"/>
  <c r="D15" i="2"/>
  <c r="D110" i="2"/>
  <c r="D102" i="2"/>
  <c r="D96" i="2"/>
  <c r="D89" i="2"/>
  <c r="D81" i="2"/>
  <c r="D74" i="2"/>
  <c r="D68" i="2"/>
  <c r="D60" i="2"/>
  <c r="D53" i="2"/>
  <c r="D46" i="2"/>
  <c r="D38" i="2"/>
  <c r="D32" i="2"/>
  <c r="D11" i="2"/>
  <c r="D108" i="2"/>
  <c r="D101" i="2"/>
  <c r="D94" i="2"/>
  <c r="D86" i="2"/>
  <c r="D80" i="2"/>
  <c r="D73" i="2"/>
  <c r="D65" i="2"/>
  <c r="D58" i="2"/>
  <c r="D52" i="2"/>
  <c r="D44" i="2"/>
  <c r="D37" i="2"/>
  <c r="B16" i="1"/>
  <c r="D19" i="2"/>
  <c r="D31" i="2"/>
  <c r="D35" i="2"/>
  <c r="D39" i="2"/>
  <c r="D43" i="2"/>
  <c r="D47" i="2"/>
  <c r="D51" i="2"/>
  <c r="D55" i="2"/>
  <c r="D59" i="2"/>
  <c r="D63" i="2"/>
  <c r="D67" i="2"/>
  <c r="D71" i="2"/>
  <c r="D75" i="2"/>
  <c r="D79" i="2"/>
  <c r="D83" i="2"/>
  <c r="D87" i="2"/>
  <c r="D91" i="2"/>
  <c r="D95" i="2"/>
  <c r="D99" i="2"/>
  <c r="D103" i="2"/>
  <c r="D107" i="2"/>
  <c r="D111" i="2"/>
  <c r="B13" i="2"/>
  <c r="B30" i="2"/>
  <c r="B34" i="2"/>
  <c r="B38" i="2"/>
  <c r="B42" i="2"/>
  <c r="B46" i="2"/>
  <c r="B50" i="2"/>
  <c r="B54" i="2"/>
  <c r="B58" i="2"/>
  <c r="B62" i="2"/>
  <c r="B66" i="2"/>
  <c r="B70" i="2"/>
  <c r="B74" i="2"/>
  <c r="B78" i="2"/>
  <c r="B82" i="2"/>
  <c r="B86" i="2"/>
  <c r="B90" i="2"/>
  <c r="B94" i="2"/>
  <c r="B98" i="2"/>
  <c r="B102" i="2"/>
  <c r="B106" i="2"/>
  <c r="B110" i="2"/>
  <c r="B114" i="2"/>
  <c r="B111" i="2"/>
  <c r="B105" i="2"/>
  <c r="B100" i="2"/>
  <c r="B95" i="2"/>
  <c r="B89" i="2"/>
  <c r="B84" i="2"/>
  <c r="B79" i="2"/>
  <c r="B73" i="2"/>
  <c r="B68" i="2"/>
  <c r="B63" i="2"/>
  <c r="B57" i="2"/>
  <c r="B52" i="2"/>
  <c r="B47" i="2"/>
  <c r="B41" i="2"/>
  <c r="B36" i="2"/>
  <c r="B31" i="2"/>
  <c r="D114" i="2"/>
  <c r="D109" i="2"/>
  <c r="D104" i="2"/>
  <c r="D98" i="2"/>
  <c r="D93" i="2"/>
  <c r="D88" i="2"/>
  <c r="D82" i="2"/>
  <c r="D77" i="2"/>
  <c r="D72" i="2"/>
  <c r="D66" i="2"/>
  <c r="D61" i="2"/>
  <c r="D56" i="2"/>
  <c r="D50" i="2"/>
  <c r="D45" i="2"/>
  <c r="D40" i="2"/>
  <c r="D34" i="2"/>
  <c r="D27" i="2"/>
  <c r="D7" i="2"/>
  <c r="D26" i="2"/>
  <c r="D10" i="2"/>
  <c r="D29" i="2"/>
  <c r="D25" i="2"/>
  <c r="D21" i="2"/>
  <c r="D17" i="2"/>
  <c r="D13" i="2"/>
  <c r="D9" i="2"/>
  <c r="D5" i="2"/>
  <c r="D22" i="2"/>
  <c r="D18" i="2"/>
  <c r="D14" i="2"/>
  <c r="D6" i="2"/>
  <c r="D4" i="2"/>
  <c r="F4" i="2" s="1"/>
  <c r="I4" i="2" s="1"/>
  <c r="D28" i="2"/>
  <c r="D24" i="2"/>
  <c r="D20" i="2"/>
  <c r="D16" i="2"/>
  <c r="D12" i="2"/>
  <c r="D8" i="2"/>
  <c r="B6" i="2"/>
  <c r="B24" i="2"/>
  <c r="B20" i="2"/>
  <c r="B9" i="2"/>
  <c r="B23" i="2"/>
  <c r="B15" i="2"/>
  <c r="B18" i="2"/>
  <c r="B10" i="2"/>
  <c r="B28" i="2"/>
  <c r="B16" i="2"/>
  <c r="B5" i="2"/>
  <c r="B27" i="2"/>
  <c r="B19" i="2"/>
  <c r="B12" i="2"/>
  <c r="B8" i="2"/>
  <c r="B26" i="2"/>
  <c r="B22" i="2"/>
  <c r="B14" i="2"/>
  <c r="B11" i="2"/>
  <c r="B7" i="2"/>
  <c r="B29" i="2"/>
  <c r="B25" i="2"/>
  <c r="B21" i="2"/>
  <c r="B17" i="2"/>
  <c r="B7" i="4"/>
  <c r="I7" i="3" l="1"/>
  <c r="J8" i="3"/>
  <c r="I4" i="3"/>
  <c r="B20" i="1"/>
  <c r="B11" i="4" s="1"/>
  <c r="B19" i="1"/>
  <c r="B10" i="4" s="1"/>
  <c r="I6" i="3"/>
  <c r="I5" i="3"/>
  <c r="B8" i="4"/>
  <c r="H4" i="2"/>
  <c r="C5" i="2"/>
  <c r="B18" i="1" l="1"/>
  <c r="B9" i="4" s="1"/>
  <c r="E5" i="2"/>
  <c r="J5" i="2" s="1"/>
  <c r="F5" i="2" l="1"/>
  <c r="H5" i="2" l="1"/>
  <c r="I5" i="2"/>
  <c r="C6" i="2" s="1"/>
  <c r="E6" i="2" s="1"/>
  <c r="J6" i="2" s="1"/>
  <c r="F6" i="2" l="1"/>
  <c r="H6" i="2" s="1"/>
  <c r="I6" i="2" l="1"/>
  <c r="C7" i="2" s="1"/>
  <c r="E7" i="2" s="1"/>
  <c r="J7" i="2" s="1"/>
  <c r="F7" i="2" l="1"/>
  <c r="I7" i="2" s="1"/>
  <c r="C8" i="2" s="1"/>
  <c r="E8" i="2" s="1"/>
  <c r="J8" i="2" s="1"/>
  <c r="H7" i="2" l="1"/>
  <c r="F8" i="2"/>
  <c r="I8" i="2" s="1"/>
  <c r="C9" i="2" s="1"/>
  <c r="E9" i="2" l="1"/>
  <c r="J9" i="2" s="1"/>
  <c r="H8" i="2"/>
  <c r="F9" i="2" l="1"/>
  <c r="I9" i="2" s="1"/>
  <c r="C10" i="2" s="1"/>
  <c r="H9" i="2" l="1"/>
  <c r="E10" i="2"/>
  <c r="J10" i="2" s="1"/>
  <c r="F10" i="2" l="1"/>
  <c r="I10" i="2" s="1"/>
  <c r="C11" i="2" s="1"/>
  <c r="E11" i="2" l="1"/>
  <c r="J11" i="2" s="1"/>
  <c r="H10" i="2"/>
  <c r="F11" i="2" l="1"/>
  <c r="I11" i="2" s="1"/>
  <c r="C12" i="2" s="1"/>
  <c r="E12" i="2" l="1"/>
  <c r="J12" i="2" s="1"/>
  <c r="H11" i="2"/>
  <c r="F12" i="2" l="1"/>
  <c r="H12" i="2" s="1"/>
  <c r="I12" i="2" l="1"/>
  <c r="C13" i="2" s="1"/>
  <c r="E13" i="2" l="1"/>
  <c r="J13" i="2" s="1"/>
  <c r="F13" i="2" l="1"/>
  <c r="H13" i="2" s="1"/>
  <c r="I13" i="2" l="1"/>
  <c r="C14" i="2" s="1"/>
  <c r="E14" i="2" l="1"/>
  <c r="J14" i="2" s="1"/>
  <c r="F14" i="2" l="1"/>
  <c r="H14" i="2" s="1"/>
  <c r="I14" i="2" l="1"/>
  <c r="C15" i="2" s="1"/>
  <c r="E15" i="2" l="1"/>
  <c r="J15" i="2" s="1"/>
  <c r="F15" i="2" l="1"/>
  <c r="H15" i="2" s="1"/>
  <c r="I15" i="2" l="1"/>
  <c r="C16" i="2" s="1"/>
  <c r="E16" i="2" l="1"/>
  <c r="J16" i="2" s="1"/>
  <c r="F16" i="2" l="1"/>
  <c r="I16" i="2" l="1"/>
  <c r="C17" i="2" s="1"/>
  <c r="H16" i="2"/>
  <c r="E17" i="2" l="1"/>
  <c r="J17" i="2" s="1"/>
  <c r="F17" i="2" l="1"/>
  <c r="H17" i="2" s="1"/>
  <c r="I17" i="2" l="1"/>
  <c r="C18" i="2" s="1"/>
  <c r="E18" i="2" l="1"/>
  <c r="J18" i="2" s="1"/>
  <c r="F18" i="2" l="1"/>
  <c r="H18" i="2" s="1"/>
  <c r="I18" i="2" l="1"/>
  <c r="C19" i="2" s="1"/>
  <c r="E19" i="2" l="1"/>
  <c r="J19" i="2" s="1"/>
  <c r="F19" i="2" l="1"/>
  <c r="I19" i="2" l="1"/>
  <c r="C20" i="2" s="1"/>
  <c r="H19" i="2"/>
  <c r="E20" i="2" l="1"/>
  <c r="J20" i="2" s="1"/>
  <c r="F20" i="2" l="1"/>
  <c r="H20" i="2" s="1"/>
  <c r="I20" i="2" l="1"/>
  <c r="C21" i="2" s="1"/>
  <c r="E21" i="2" l="1"/>
  <c r="J21" i="2" s="1"/>
  <c r="F21" i="2" l="1"/>
  <c r="H21" i="2" s="1"/>
  <c r="I21" i="2" l="1"/>
  <c r="C22" i="2" s="1"/>
  <c r="E22" i="2" l="1"/>
  <c r="J22" i="2" s="1"/>
  <c r="F22" i="2" l="1"/>
  <c r="I22" i="2" l="1"/>
  <c r="C23" i="2" s="1"/>
  <c r="H22" i="2"/>
  <c r="E23" i="2" l="1"/>
  <c r="J23" i="2" s="1"/>
  <c r="F23" i="2" l="1"/>
  <c r="I23" i="2" l="1"/>
  <c r="C24" i="2" s="1"/>
  <c r="H23" i="2"/>
  <c r="E24" i="2" l="1"/>
  <c r="J24" i="2" s="1"/>
  <c r="F24" i="2" l="1"/>
  <c r="I24" i="2" l="1"/>
  <c r="C25" i="2" s="1"/>
  <c r="H24" i="2"/>
  <c r="E25" i="2" l="1"/>
  <c r="J25" i="2" s="1"/>
  <c r="F25" i="2" l="1"/>
  <c r="I25" i="2" l="1"/>
  <c r="C26" i="2" s="1"/>
  <c r="H25" i="2"/>
  <c r="E26" i="2" l="1"/>
  <c r="J26" i="2" s="1"/>
  <c r="F26" i="2" l="1"/>
  <c r="I26" i="2" l="1"/>
  <c r="C27" i="2" s="1"/>
  <c r="H26" i="2"/>
  <c r="E27" i="2" l="1"/>
  <c r="J27" i="2" s="1"/>
  <c r="F27" i="2" l="1"/>
  <c r="I27" i="2" l="1"/>
  <c r="C28" i="2" s="1"/>
  <c r="H27" i="2"/>
  <c r="E28" i="2" l="1"/>
  <c r="J28" i="2" s="1"/>
  <c r="F28" i="2" l="1"/>
  <c r="H28" i="2" s="1"/>
  <c r="I28" i="2" l="1"/>
  <c r="C29" i="2" s="1"/>
  <c r="E29" i="2" l="1"/>
  <c r="J29" i="2" s="1"/>
  <c r="F29" i="2" l="1"/>
  <c r="I29" i="2" s="1"/>
  <c r="C30" i="2" s="1"/>
  <c r="H29" i="2" l="1"/>
  <c r="E30" i="2"/>
  <c r="J30" i="2" s="1"/>
  <c r="F30" i="2" l="1"/>
  <c r="I30" i="2" s="1"/>
  <c r="C31" i="2" s="1"/>
  <c r="H30" i="2" l="1"/>
  <c r="E31" i="2"/>
  <c r="J31" i="2" s="1"/>
  <c r="F31" i="2" l="1"/>
  <c r="I31" i="2" s="1"/>
  <c r="C32" i="2" s="1"/>
  <c r="E32" i="2" l="1"/>
  <c r="J32" i="2" s="1"/>
  <c r="H31" i="2"/>
  <c r="F32" i="2" l="1"/>
  <c r="I32" i="2" s="1"/>
  <c r="C33" i="2" s="1"/>
  <c r="E33" i="2" l="1"/>
  <c r="J33" i="2" s="1"/>
  <c r="H32" i="2"/>
  <c r="F33" i="2" l="1"/>
  <c r="I33" i="2" s="1"/>
  <c r="C34" i="2" s="1"/>
  <c r="H33" i="2" l="1"/>
  <c r="E34" i="2"/>
  <c r="J34" i="2" s="1"/>
  <c r="F34" i="2" l="1"/>
  <c r="I34" i="2" s="1"/>
  <c r="C35" i="2" s="1"/>
  <c r="E35" i="2" l="1"/>
  <c r="J35" i="2" s="1"/>
  <c r="H34" i="2"/>
  <c r="F35" i="2" l="1"/>
  <c r="I35" i="2" s="1"/>
  <c r="C36" i="2" s="1"/>
  <c r="E36" i="2" l="1"/>
  <c r="J36" i="2" s="1"/>
  <c r="H35" i="2"/>
  <c r="F36" i="2" l="1"/>
  <c r="I36" i="2" s="1"/>
  <c r="C37" i="2" s="1"/>
  <c r="H36" i="2" l="1"/>
  <c r="E37" i="2"/>
  <c r="J37" i="2" s="1"/>
  <c r="F37" i="2" l="1"/>
  <c r="I37" i="2" s="1"/>
  <c r="C38" i="2" s="1"/>
  <c r="E38" i="2" l="1"/>
  <c r="J38" i="2" s="1"/>
  <c r="H37" i="2"/>
  <c r="F38" i="2" l="1"/>
  <c r="I38" i="2" s="1"/>
  <c r="C39" i="2" s="1"/>
  <c r="E39" i="2" l="1"/>
  <c r="J39" i="2" s="1"/>
  <c r="H38" i="2"/>
  <c r="F39" i="2" l="1"/>
  <c r="I39" i="2" s="1"/>
  <c r="C40" i="2" s="1"/>
  <c r="E40" i="2" l="1"/>
  <c r="J40" i="2" s="1"/>
  <c r="H39" i="2"/>
  <c r="F40" i="2" l="1"/>
  <c r="I40" i="2" s="1"/>
  <c r="C41" i="2" s="1"/>
  <c r="E41" i="2" l="1"/>
  <c r="J41" i="2" s="1"/>
  <c r="H40" i="2"/>
  <c r="F41" i="2" l="1"/>
  <c r="I41" i="2" s="1"/>
  <c r="C42" i="2" s="1"/>
  <c r="H41" i="2" l="1"/>
  <c r="E42" i="2"/>
  <c r="J42" i="2" s="1"/>
  <c r="F42" i="2" l="1"/>
  <c r="I42" i="2" s="1"/>
  <c r="C43" i="2" s="1"/>
  <c r="E43" i="2" l="1"/>
  <c r="J43" i="2" s="1"/>
  <c r="H42" i="2"/>
  <c r="F43" i="2" l="1"/>
  <c r="I43" i="2" s="1"/>
  <c r="C44" i="2" s="1"/>
  <c r="H43" i="2" l="1"/>
  <c r="E44" i="2"/>
  <c r="J44" i="2" s="1"/>
  <c r="F44" i="2" l="1"/>
  <c r="I44" i="2" s="1"/>
  <c r="C45" i="2" s="1"/>
  <c r="E45" i="2" l="1"/>
  <c r="J45" i="2" s="1"/>
  <c r="H44" i="2"/>
  <c r="F45" i="2" l="1"/>
  <c r="I45" i="2" s="1"/>
  <c r="C46" i="2" s="1"/>
  <c r="E46" i="2" l="1"/>
  <c r="J46" i="2" s="1"/>
  <c r="H45" i="2"/>
  <c r="F46" i="2" l="1"/>
  <c r="I46" i="2" s="1"/>
  <c r="C47" i="2" s="1"/>
  <c r="H46" i="2" l="1"/>
  <c r="E47" i="2"/>
  <c r="J47" i="2" s="1"/>
  <c r="F47" i="2" l="1"/>
  <c r="I47" i="2" s="1"/>
  <c r="C48" i="2" s="1"/>
  <c r="E48" i="2" l="1"/>
  <c r="J48" i="2" s="1"/>
  <c r="H47" i="2"/>
  <c r="F48" i="2" l="1"/>
  <c r="I48" i="2" s="1"/>
  <c r="C49" i="2" s="1"/>
  <c r="E49" i="2" l="1"/>
  <c r="J49" i="2" s="1"/>
  <c r="H48" i="2"/>
  <c r="F49" i="2" l="1"/>
  <c r="I49" i="2" s="1"/>
  <c r="C50" i="2" s="1"/>
  <c r="H49" i="2" l="1"/>
  <c r="E50" i="2"/>
  <c r="J50" i="2" s="1"/>
  <c r="F50" i="2" l="1"/>
  <c r="I50" i="2" s="1"/>
  <c r="C51" i="2" s="1"/>
  <c r="E51" i="2" l="1"/>
  <c r="J51" i="2" s="1"/>
  <c r="H50" i="2"/>
  <c r="F51" i="2" l="1"/>
  <c r="I51" i="2" s="1"/>
  <c r="C52" i="2" s="1"/>
  <c r="E52" i="2" l="1"/>
  <c r="J52" i="2" s="1"/>
  <c r="H51" i="2"/>
  <c r="F52" i="2" l="1"/>
  <c r="I52" i="2" s="1"/>
  <c r="C53" i="2" s="1"/>
  <c r="H52" i="2" l="1"/>
  <c r="E53" i="2"/>
  <c r="J53" i="2" s="1"/>
  <c r="F53" i="2" l="1"/>
  <c r="I53" i="2" s="1"/>
  <c r="C54" i="2" s="1"/>
  <c r="H53" i="2" l="1"/>
  <c r="E54" i="2"/>
  <c r="J54" i="2" s="1"/>
  <c r="F54" i="2" l="1"/>
  <c r="I54" i="2" s="1"/>
  <c r="C55" i="2" s="1"/>
  <c r="E55" i="2" l="1"/>
  <c r="J55" i="2" s="1"/>
  <c r="H54" i="2"/>
  <c r="F55" i="2" l="1"/>
  <c r="I55" i="2" s="1"/>
  <c r="C56" i="2" s="1"/>
  <c r="H55" i="2" l="1"/>
  <c r="E56" i="2"/>
  <c r="J56" i="2" s="1"/>
  <c r="F56" i="2" l="1"/>
  <c r="I56" i="2" s="1"/>
  <c r="C57" i="2" s="1"/>
  <c r="E57" i="2" l="1"/>
  <c r="J57" i="2" s="1"/>
  <c r="H56" i="2"/>
  <c r="F57" i="2" l="1"/>
  <c r="I57" i="2" s="1"/>
  <c r="C58" i="2" s="1"/>
  <c r="H57" i="2" l="1"/>
  <c r="E58" i="2"/>
  <c r="J58" i="2" s="1"/>
  <c r="F58" i="2" l="1"/>
  <c r="I58" i="2" s="1"/>
  <c r="C59" i="2" s="1"/>
  <c r="H58" i="2" l="1"/>
  <c r="E59" i="2"/>
  <c r="J59" i="2" s="1"/>
  <c r="F59" i="2" l="1"/>
  <c r="I59" i="2" s="1"/>
  <c r="C60" i="2" s="1"/>
  <c r="E60" i="2" l="1"/>
  <c r="J60" i="2" s="1"/>
  <c r="H59" i="2"/>
  <c r="F60" i="2" l="1"/>
  <c r="I60" i="2" s="1"/>
  <c r="C61" i="2" s="1"/>
  <c r="E61" i="2" l="1"/>
  <c r="J61" i="2" s="1"/>
  <c r="H60" i="2"/>
  <c r="F61" i="2" l="1"/>
  <c r="I61" i="2" s="1"/>
  <c r="C62" i="2" s="1"/>
  <c r="E62" i="2" l="1"/>
  <c r="J62" i="2" s="1"/>
  <c r="H61" i="2"/>
  <c r="F62" i="2" l="1"/>
  <c r="I62" i="2" s="1"/>
  <c r="C63" i="2" s="1"/>
  <c r="H62" i="2" l="1"/>
  <c r="E63" i="2"/>
  <c r="J63" i="2" s="1"/>
  <c r="F63" i="2" l="1"/>
  <c r="I63" i="2" s="1"/>
  <c r="C64" i="2" s="1"/>
  <c r="H63" i="2" l="1"/>
  <c r="E64" i="2"/>
  <c r="J64" i="2" s="1"/>
  <c r="F64" i="2" l="1"/>
  <c r="I64" i="2" s="1"/>
  <c r="C65" i="2" s="1"/>
  <c r="H64" i="2" l="1"/>
  <c r="E65" i="2"/>
  <c r="J65" i="2" s="1"/>
  <c r="F65" i="2" l="1"/>
  <c r="I65" i="2" s="1"/>
  <c r="C66" i="2" s="1"/>
  <c r="H65" i="2" l="1"/>
  <c r="E66" i="2"/>
  <c r="J66" i="2" s="1"/>
  <c r="F66" i="2" l="1"/>
  <c r="I66" i="2" s="1"/>
  <c r="C67" i="2" s="1"/>
  <c r="E67" i="2" l="1"/>
  <c r="J67" i="2" s="1"/>
  <c r="H66" i="2"/>
  <c r="F67" i="2" l="1"/>
  <c r="I67" i="2" s="1"/>
  <c r="C68" i="2" s="1"/>
  <c r="E68" i="2" l="1"/>
  <c r="J68" i="2" s="1"/>
  <c r="H67" i="2"/>
  <c r="F68" i="2" l="1"/>
  <c r="I68" i="2" s="1"/>
  <c r="C69" i="2" s="1"/>
  <c r="H68" i="2" l="1"/>
  <c r="E69" i="2"/>
  <c r="J69" i="2" s="1"/>
  <c r="F69" i="2" l="1"/>
  <c r="I69" i="2" s="1"/>
  <c r="C70" i="2" s="1"/>
  <c r="E70" i="2" l="1"/>
  <c r="J70" i="2" s="1"/>
  <c r="H69" i="2"/>
  <c r="F70" i="2" l="1"/>
  <c r="I70" i="2" s="1"/>
  <c r="C71" i="2" s="1"/>
  <c r="E71" i="2" l="1"/>
  <c r="J71" i="2" s="1"/>
  <c r="H70" i="2"/>
  <c r="F71" i="2" l="1"/>
  <c r="I71" i="2" s="1"/>
  <c r="C72" i="2" s="1"/>
  <c r="E72" i="2" l="1"/>
  <c r="J72" i="2" s="1"/>
  <c r="H71" i="2"/>
  <c r="F72" i="2" l="1"/>
  <c r="I72" i="2" s="1"/>
  <c r="C73" i="2" s="1"/>
  <c r="E73" i="2" l="1"/>
  <c r="J73" i="2" s="1"/>
  <c r="H72" i="2"/>
  <c r="F73" i="2" l="1"/>
  <c r="I73" i="2" s="1"/>
  <c r="C74" i="2" s="1"/>
  <c r="E74" i="2" l="1"/>
  <c r="J74" i="2" s="1"/>
  <c r="H73" i="2"/>
  <c r="F74" i="2" l="1"/>
  <c r="I74" i="2" s="1"/>
  <c r="C75" i="2" s="1"/>
  <c r="H74" i="2" l="1"/>
  <c r="E75" i="2"/>
  <c r="J75" i="2" s="1"/>
  <c r="F75" i="2" l="1"/>
  <c r="I75" i="2" s="1"/>
  <c r="C76" i="2" s="1"/>
  <c r="E76" i="2" l="1"/>
  <c r="J76" i="2" s="1"/>
  <c r="H75" i="2"/>
  <c r="F76" i="2" l="1"/>
  <c r="I76" i="2" s="1"/>
  <c r="C77" i="2" s="1"/>
  <c r="H76" i="2" l="1"/>
  <c r="E77" i="2"/>
  <c r="J77" i="2" s="1"/>
  <c r="F77" i="2" l="1"/>
  <c r="I77" i="2" s="1"/>
  <c r="C78" i="2" s="1"/>
  <c r="E78" i="2" l="1"/>
  <c r="J78" i="2" s="1"/>
  <c r="H77" i="2"/>
  <c r="F78" i="2" l="1"/>
  <c r="I78" i="2" s="1"/>
  <c r="C79" i="2" s="1"/>
  <c r="E79" i="2" l="1"/>
  <c r="J79" i="2" s="1"/>
  <c r="H78" i="2"/>
  <c r="F79" i="2" l="1"/>
  <c r="I79" i="2" s="1"/>
  <c r="C80" i="2" s="1"/>
  <c r="E80" i="2" l="1"/>
  <c r="J80" i="2" s="1"/>
  <c r="H79" i="2"/>
  <c r="F80" i="2" l="1"/>
  <c r="I80" i="2" s="1"/>
  <c r="C81" i="2" s="1"/>
  <c r="H80" i="2" l="1"/>
  <c r="E81" i="2"/>
  <c r="J81" i="2" s="1"/>
  <c r="F81" i="2" l="1"/>
  <c r="I81" i="2" s="1"/>
  <c r="C82" i="2" s="1"/>
  <c r="E82" i="2" l="1"/>
  <c r="J82" i="2" s="1"/>
  <c r="H81" i="2"/>
  <c r="F82" i="2" l="1"/>
  <c r="I82" i="2" s="1"/>
  <c r="C83" i="2" s="1"/>
  <c r="E83" i="2" l="1"/>
  <c r="J83" i="2" s="1"/>
  <c r="H82" i="2"/>
  <c r="F83" i="2" l="1"/>
  <c r="I83" i="2" s="1"/>
  <c r="C84" i="2" s="1"/>
  <c r="E84" i="2" l="1"/>
  <c r="J84" i="2" s="1"/>
  <c r="H83" i="2"/>
  <c r="F84" i="2" l="1"/>
  <c r="I84" i="2" s="1"/>
  <c r="C85" i="2" s="1"/>
  <c r="E85" i="2" l="1"/>
  <c r="J85" i="2" s="1"/>
  <c r="H84" i="2"/>
  <c r="F85" i="2" l="1"/>
  <c r="I85" i="2" s="1"/>
  <c r="C86" i="2" s="1"/>
  <c r="H85" i="2" l="1"/>
  <c r="E86" i="2"/>
  <c r="J86" i="2" s="1"/>
  <c r="F86" i="2" l="1"/>
  <c r="I86" i="2" s="1"/>
  <c r="C87" i="2" s="1"/>
  <c r="E87" i="2" l="1"/>
  <c r="J87" i="2" s="1"/>
  <c r="H86" i="2"/>
  <c r="F87" i="2" l="1"/>
  <c r="I87" i="2" s="1"/>
  <c r="C88" i="2" s="1"/>
  <c r="H87" i="2" l="1"/>
  <c r="E88" i="2"/>
  <c r="J88" i="2" s="1"/>
  <c r="F88" i="2" l="1"/>
  <c r="I88" i="2" s="1"/>
  <c r="C89" i="2" s="1"/>
  <c r="E89" i="2" l="1"/>
  <c r="J89" i="2" s="1"/>
  <c r="H88" i="2"/>
  <c r="F89" i="2" l="1"/>
  <c r="I89" i="2" s="1"/>
  <c r="C90" i="2" s="1"/>
  <c r="E90" i="2" l="1"/>
  <c r="J90" i="2" s="1"/>
  <c r="H89" i="2"/>
  <c r="F90" i="2" l="1"/>
  <c r="I90" i="2" s="1"/>
  <c r="C91" i="2" s="1"/>
  <c r="H90" i="2" l="1"/>
  <c r="E91" i="2"/>
  <c r="J91" i="2" s="1"/>
  <c r="F91" i="2" l="1"/>
  <c r="I91" i="2" s="1"/>
  <c r="C92" i="2" s="1"/>
  <c r="H91" i="2" l="1"/>
  <c r="E92" i="2"/>
  <c r="J92" i="2" s="1"/>
  <c r="F92" i="2" l="1"/>
  <c r="I92" i="2" s="1"/>
  <c r="C93" i="2" s="1"/>
  <c r="E93" i="2" l="1"/>
  <c r="J93" i="2" s="1"/>
  <c r="H92" i="2"/>
  <c r="F93" i="2" l="1"/>
  <c r="I93" i="2" s="1"/>
  <c r="C94" i="2" s="1"/>
  <c r="E94" i="2" l="1"/>
  <c r="J94" i="2" s="1"/>
  <c r="H93" i="2"/>
  <c r="F94" i="2" l="1"/>
  <c r="I94" i="2" s="1"/>
  <c r="C95" i="2" s="1"/>
  <c r="H94" i="2" l="1"/>
  <c r="E95" i="2"/>
  <c r="J95" i="2" s="1"/>
  <c r="F95" i="2" l="1"/>
  <c r="I95" i="2" s="1"/>
  <c r="C96" i="2" s="1"/>
  <c r="E96" i="2" l="1"/>
  <c r="J96" i="2" s="1"/>
  <c r="H95" i="2"/>
  <c r="F96" i="2" l="1"/>
  <c r="I96" i="2" s="1"/>
  <c r="C97" i="2" s="1"/>
  <c r="H96" i="2" l="1"/>
  <c r="E97" i="2"/>
  <c r="J97" i="2" s="1"/>
  <c r="F97" i="2" l="1"/>
  <c r="I97" i="2" s="1"/>
  <c r="C98" i="2" s="1"/>
  <c r="H97" i="2" l="1"/>
  <c r="E98" i="2"/>
  <c r="J98" i="2" s="1"/>
  <c r="F98" i="2" l="1"/>
  <c r="I98" i="2" s="1"/>
  <c r="C99" i="2" s="1"/>
  <c r="E99" i="2" l="1"/>
  <c r="J99" i="2" s="1"/>
  <c r="H98" i="2"/>
  <c r="F99" i="2" l="1"/>
  <c r="I99" i="2" s="1"/>
  <c r="C100" i="2" s="1"/>
  <c r="E100" i="2" l="1"/>
  <c r="J100" i="2" s="1"/>
  <c r="H99" i="2"/>
  <c r="F100" i="2" l="1"/>
  <c r="I100" i="2" s="1"/>
  <c r="C101" i="2" s="1"/>
  <c r="E101" i="2" l="1"/>
  <c r="J101" i="2" s="1"/>
  <c r="H100" i="2"/>
  <c r="F101" i="2" l="1"/>
  <c r="I101" i="2" s="1"/>
  <c r="C102" i="2" s="1"/>
  <c r="E102" i="2" l="1"/>
  <c r="J102" i="2" s="1"/>
  <c r="H101" i="2"/>
  <c r="F102" i="2" l="1"/>
  <c r="I102" i="2" s="1"/>
  <c r="C103" i="2" s="1"/>
  <c r="H102" i="2" l="1"/>
  <c r="E103" i="2"/>
  <c r="J103" i="2" s="1"/>
  <c r="F103" i="2" l="1"/>
  <c r="I103" i="2" s="1"/>
  <c r="C104" i="2" s="1"/>
  <c r="E104" i="2" l="1"/>
  <c r="J104" i="2" s="1"/>
  <c r="H103" i="2"/>
  <c r="F104" i="2" l="1"/>
  <c r="I104" i="2" s="1"/>
  <c r="C105" i="2" s="1"/>
  <c r="E105" i="2" l="1"/>
  <c r="J105" i="2" s="1"/>
  <c r="H104" i="2"/>
  <c r="F105" i="2" l="1"/>
  <c r="I105" i="2" s="1"/>
  <c r="C106" i="2" s="1"/>
  <c r="H105" i="2" l="1"/>
  <c r="E106" i="2"/>
  <c r="J106" i="2" s="1"/>
  <c r="F106" i="2" l="1"/>
  <c r="I106" i="2" s="1"/>
  <c r="C107" i="2" s="1"/>
  <c r="H106" i="2" l="1"/>
  <c r="E107" i="2"/>
  <c r="J107" i="2" s="1"/>
  <c r="F107" i="2" l="1"/>
  <c r="I107" i="2" s="1"/>
  <c r="C108" i="2" s="1"/>
  <c r="H107" i="2" l="1"/>
  <c r="E108" i="2"/>
  <c r="J108" i="2" s="1"/>
  <c r="F108" i="2" l="1"/>
  <c r="I108" i="2" s="1"/>
  <c r="C109" i="2" s="1"/>
  <c r="E109" i="2" l="1"/>
  <c r="J109" i="2" s="1"/>
  <c r="H108" i="2"/>
  <c r="F109" i="2" l="1"/>
  <c r="I109" i="2" s="1"/>
  <c r="C110" i="2" s="1"/>
  <c r="E110" i="2" l="1"/>
  <c r="J110" i="2" s="1"/>
  <c r="H109" i="2"/>
  <c r="F110" i="2" l="1"/>
  <c r="I110" i="2" s="1"/>
  <c r="C111" i="2" s="1"/>
  <c r="H110" i="2" l="1"/>
  <c r="E111" i="2"/>
  <c r="J111" i="2" s="1"/>
  <c r="F111" i="2" l="1"/>
  <c r="I111" i="2" s="1"/>
  <c r="C112" i="2" s="1"/>
  <c r="H111" i="2" l="1"/>
  <c r="E112" i="2"/>
  <c r="J112" i="2" s="1"/>
  <c r="F112" i="2" l="1"/>
  <c r="I112" i="2" s="1"/>
  <c r="C113" i="2" s="1"/>
  <c r="E113" i="2" l="1"/>
  <c r="J113" i="2" s="1"/>
  <c r="H112" i="2"/>
  <c r="F113" i="2" l="1"/>
  <c r="I113" i="2" s="1"/>
  <c r="C114" i="2" s="1"/>
  <c r="H113" i="2" l="1"/>
  <c r="E114" i="2"/>
  <c r="J114" i="2" s="1"/>
  <c r="F114" i="2" l="1"/>
  <c r="I114" i="2" s="1"/>
  <c r="H114" i="2" l="1"/>
</calcChain>
</file>

<file path=xl/sharedStrings.xml><?xml version="1.0" encoding="utf-8"?>
<sst xmlns="http://schemas.openxmlformats.org/spreadsheetml/2006/main" count="83" uniqueCount="65">
  <si>
    <t>Pangalaenu kalkulaator – sisendid</t>
  </si>
  <si>
    <t>Sisend</t>
  </si>
  <si>
    <t>Väärtus</t>
  </si>
  <si>
    <t>Märkus / allikas</t>
  </si>
  <si>
    <t>Laenusumma</t>
  </si>
  <si>
    <t>Näidisandmed; muuda vastavalt pakkumisele</t>
  </si>
  <si>
    <t>Aastane nominaalintress</t>
  </si>
  <si>
    <t>Näidisandmed</t>
  </si>
  <si>
    <t>Laenuperiood kuudes</t>
  </si>
  <si>
    <t>Lepingutasu</t>
  </si>
  <si>
    <t>Igakuine haldustasu</t>
  </si>
  <si>
    <t>Esimese makse kuupäev</t>
  </si>
  <si>
    <t>Oma kuusissetulek</t>
  </si>
  <si>
    <t>Muud igakuised kohustused</t>
  </si>
  <si>
    <t>Arvutus</t>
  </si>
  <si>
    <t>Valem / tulemus</t>
  </si>
  <si>
    <t>Selgitus</t>
  </si>
  <si>
    <t>Kuumakse ilma tasudeta</t>
  </si>
  <si>
    <t>PMT valem: intress/12, periood, laenusumma</t>
  </si>
  <si>
    <t>Kuumakse koos haldustasuga</t>
  </si>
  <si>
    <t>Kuumakse + igakuine haldustasu</t>
  </si>
  <si>
    <t>Kogumaksete summa</t>
  </si>
  <si>
    <t>Kõik kuumaksed koos haldustasuga + lepingutasu</t>
  </si>
  <si>
    <t>Kogu intressikulu</t>
  </si>
  <si>
    <t>Kogumaksete summa – laenusumma – tasud</t>
  </si>
  <si>
    <t>Hinnanguline kulukuse määr</t>
  </si>
  <si>
    <t>RATE põhjal, arvestades kuumakset ja algseid tasusid</t>
  </si>
  <si>
    <t>Võla teenindamise määr</t>
  </si>
  <si>
    <t>Laenu maksegraafik</t>
  </si>
  <si>
    <t>Kuu</t>
  </si>
  <si>
    <t>Makse kuupäev</t>
  </si>
  <si>
    <t>Algjääk</t>
  </si>
  <si>
    <t>Kuumakse</t>
  </si>
  <si>
    <t>Intress</t>
  </si>
  <si>
    <t>Põhiosa</t>
  </si>
  <si>
    <t>Haldustasu</t>
  </si>
  <si>
    <t>Kogumakse</t>
  </si>
  <si>
    <t>Lõppjääk</t>
  </si>
  <si>
    <t>Stsenaariumianalüüs – kuumakse ja kulukus</t>
  </si>
  <si>
    <t>Stsenaarium</t>
  </si>
  <si>
    <t>Periood (kuud)</t>
  </si>
  <si>
    <t>Kogukulu</t>
  </si>
  <si>
    <t>Kulukuse määr</t>
  </si>
  <si>
    <t>Madalam summa</t>
  </si>
  <si>
    <t>Baasstsenaarium</t>
  </si>
  <si>
    <t>Pikem periood</t>
  </si>
  <si>
    <t>Kõrgem intress</t>
  </si>
  <si>
    <t>Suurem summa</t>
  </si>
  <si>
    <t>Laenukalkulaatori kokkuvõte</t>
  </si>
  <si>
    <t>Mõõdik</t>
  </si>
  <si>
    <t>Kuidas seda portfoolios selgitada</t>
  </si>
  <si>
    <t>Aastane intress</t>
  </si>
  <si>
    <t>Periood</t>
  </si>
  <si>
    <t>Kumulatiivne intress</t>
  </si>
  <si>
    <t>Kogumakse kuus</t>
  </si>
  <si>
    <t>See Exceli töövihik näitab pangalaenu põhiloogikat: sisendite eraldamine arvutustest, PMT/RATE valemid, maksegraafik, stsenaariumianalüüs ja visuaalne kokkuvõte. Oranži lahtrid on muudetavad sisendid; mustad lahtrid on valemid.</t>
  </si>
  <si>
    <t>Madalam summa – sama periood, intress ja tasud, aga väiksem laenusumma</t>
  </si>
  <si>
    <r>
      <t xml:space="preserve">Pikem periood – </t>
    </r>
    <r>
      <rPr>
        <i/>
        <sz val="11"/>
        <rFont val="Carlito"/>
        <family val="2"/>
      </rPr>
      <t>sama laenusumma, intress ja tasud, aga pikem periood</t>
    </r>
  </si>
  <si>
    <r>
      <t xml:space="preserve">Kõrgem intress – </t>
    </r>
    <r>
      <rPr>
        <i/>
        <sz val="11"/>
        <rFont val="Carlito"/>
        <family val="2"/>
      </rPr>
      <t>sama laenusumma, periood ja tasud, aga kõrgem intressimäär</t>
    </r>
  </si>
  <si>
    <r>
      <t xml:space="preserve">Suurem summa – </t>
    </r>
    <r>
      <rPr>
        <i/>
        <sz val="11"/>
        <rFont val="Carlito"/>
        <family val="2"/>
      </rPr>
      <t>sama periood, intress ja tasud, aga suurem laenusumma</t>
    </r>
  </si>
  <si>
    <r>
      <t xml:space="preserve">Baasstsenaarium – </t>
    </r>
    <r>
      <rPr>
        <i/>
        <sz val="11"/>
        <rFont val="Carlito"/>
        <family val="2"/>
      </rPr>
      <t>põhisisendid</t>
    </r>
  </si>
  <si>
    <r>
      <rPr>
        <b/>
        <i/>
        <sz val="11"/>
        <rFont val="Carlito"/>
        <family val="2"/>
      </rPr>
      <t>Märkus:</t>
    </r>
    <r>
      <rPr>
        <i/>
        <sz val="11"/>
        <rFont val="Carlito"/>
        <family val="2"/>
      </rPr>
      <t xml:space="preserve"> stsenaariumid muudavad ühte põhisisendit võrreldes baasstsenaariumiga, et näidata mõju kuumaksele, kogukulule ja hinnangulisele kulukuse määrale.</t>
    </r>
  </si>
  <si>
    <t>Viimane makse tähtaeg</t>
  </si>
  <si>
    <t>Maksekoormus koos muude kohustustega</t>
  </si>
  <si>
    <t>(Kuumakse koos haldustasuga + muud igakuised kohustused) / netosissetulek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</si>
</sst>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\€;[Red]\(#,##0.00\ \€\);\-"/>
    <numFmt numFmtId="165" formatCode="0.00%;[Red]\(0.00%\);\-"/>
    <numFmt numFmtId="166" formatCode="dd\.mm\.yyyy"/>
  </numFmts>
  <fonts count="12" x14ac:knownFonts="1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  <font>
      <i/>
      <sz val="11"/>
      <name val="Carlito"/>
    </font>
    <font>
      <b/>
      <sz val="16"/>
      <color rgb="FFFFFFFF"/>
      <name val="Carlito"/>
    </font>
    <font>
      <sz val="11"/>
      <name val="Carlito"/>
      <family val="2"/>
    </font>
    <font>
      <b/>
      <sz val="11"/>
      <color rgb="FFFFFFFF"/>
      <name val="Carlito"/>
      <family val="2"/>
    </font>
    <font>
      <i/>
      <sz val="11"/>
      <name val="Carlito"/>
      <family val="2"/>
    </font>
    <font>
      <b/>
      <sz val="11"/>
      <name val="Carlito"/>
      <family val="2"/>
    </font>
    <font>
      <b/>
      <i/>
      <sz val="11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DDDD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4" fillId="0" borderId="0" xfId="0" applyNumberFormat="1" applyFont="1"/>
    <xf numFmtId="165" fontId="4" fillId="0" borderId="0" xfId="0" applyNumberFormat="1" applyFont="1"/>
    <xf numFmtId="166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0" borderId="0" xfId="0" applyFont="1"/>
    <xf numFmtId="164" fontId="7" fillId="0" borderId="0" xfId="0" applyNumberFormat="1" applyFont="1" applyFill="1"/>
    <xf numFmtId="165" fontId="7" fillId="0" borderId="0" xfId="0" applyNumberFormat="1" applyFont="1" applyFill="1"/>
    <xf numFmtId="1" fontId="7" fillId="0" borderId="0" xfId="0" applyNumberFormat="1" applyFont="1" applyFill="1"/>
    <xf numFmtId="164" fontId="7" fillId="5" borderId="0" xfId="0" applyNumberFormat="1" applyFont="1" applyFill="1"/>
    <xf numFmtId="1" fontId="7" fillId="5" borderId="0" xfId="0" applyNumberFormat="1" applyFont="1" applyFill="1"/>
    <xf numFmtId="165" fontId="7" fillId="5" borderId="0" xfId="0" applyNumberFormat="1" applyFont="1" applyFill="1"/>
    <xf numFmtId="0" fontId="7" fillId="0" borderId="0" xfId="0" applyFont="1" applyAlignment="1">
      <alignment vertical="top" wrapText="1"/>
    </xf>
    <xf numFmtId="0" fontId="9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7" fillId="4" borderId="0" xfId="0" applyFont="1" applyFill="1" applyAlignment="1"/>
    <xf numFmtId="166" fontId="7" fillId="5" borderId="0" xfId="0" applyNumberFormat="1" applyFont="1" applyFill="1"/>
    <xf numFmtId="0" fontId="5" fillId="0" borderId="0" xfId="0" applyFont="1" applyFill="1"/>
    <xf numFmtId="0" fontId="0" fillId="0" borderId="0" xfId="0" applyFill="1"/>
    <xf numFmtId="0" fontId="10" fillId="0" borderId="0" xfId="0" applyFont="1"/>
    <xf numFmtId="166" fontId="7" fillId="0" borderId="0" xfId="0" applyNumberFormat="1" applyFont="1" applyFill="1"/>
    <xf numFmtId="0" fontId="7" fillId="0" borderId="0" xfId="0" applyFont="1" applyAlignment="1">
      <alignment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numFmt numFmtId="164" formatCode="#,##0.00\ \€;[Red]\(#,##0.00\ \€\);\-"/>
      <fill>
        <patternFill patternType="none">
          <fgColor indexed="64"/>
          <bgColor auto="1"/>
        </patternFill>
      </fill>
    </dxf>
    <dxf>
      <numFmt numFmtId="164" formatCode="#,##0.00\ \€;[Red]\(#,##0.00\ \€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numFmt numFmtId="164" formatCode="#,##0.00\ \€;[Red]\(#,##0.00\ \€\);\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family val="2"/>
        <scheme val="none"/>
      </font>
      <fill>
        <patternFill patternType="none">
          <fgColor indexed="64"/>
          <bgColor auto="1"/>
        </patternFill>
      </fill>
    </dxf>
    <dxf>
      <numFmt numFmtId="164" formatCode="#,##0.00\ \€;[Red]\(#,##0.00\ \€\);\-"/>
    </dxf>
  </dxfs>
  <tableStyles count="1" defaultTableStyle="TableStyleMedium2" defaultPivotStyle="PivotStyleLight16">
    <tableStyle name="Invisible" pivot="0" table="0" count="0" xr9:uid="{6CB6308F-9E11-41B5-BBC5-75C120668AD8}"/>
  </tableStyles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/>
          <a:lstStyle/>
          <a:p>
            <a:r>
              <a:rPr lang="en-US"/>
              <a:t>Laenujäägi muutus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/>
          <a:lstStyle/>
          <a:p>
            <a:r>
              <a:t>Kuumakse stsenaariumite lõikes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ksegraafikTabel" displayName="MaksegraafikTabel" ref="A3:J123">
  <tableColumns count="10">
    <tableColumn id="1" xr3:uid="{00000000-0010-0000-0000-000001000000}" name="Kuu"/>
    <tableColumn id="2" xr3:uid="{00000000-0010-0000-0000-000002000000}" name="Makse kuupäev">
      <calculatedColumnFormula>IF(A4&lt;=Sisendid!$B$6,Sisendid!$B$9,"")</calculatedColumnFormula>
    </tableColumn>
    <tableColumn id="3" xr3:uid="{00000000-0010-0000-0000-000003000000}" name="Algjääk"/>
    <tableColumn id="4" xr3:uid="{00000000-0010-0000-0000-000004000000}" name="Kuumakse">
      <calculatedColumnFormula>IF(A4&lt;=Sisendid!$B$6,Sisendid!$B$15,"")</calculatedColumnFormula>
    </tableColumn>
    <tableColumn id="5" xr3:uid="{00000000-0010-0000-0000-000005000000}" name="Intress">
      <calculatedColumnFormula>IF(A4&lt;=Sisendid!$B$6,C4*(Sisendid!$B$5/12),"")</calculatedColumnFormula>
    </tableColumn>
    <tableColumn id="6" xr3:uid="{00000000-0010-0000-0000-000006000000}" name="Põhiosa">
      <calculatedColumnFormula>IF(A4&lt;=Sisendid!$B$6,MIN(D4-E4,C4),"")</calculatedColumnFormula>
    </tableColumn>
    <tableColumn id="7" xr3:uid="{00000000-0010-0000-0000-000007000000}" name="Haldustasu">
      <calculatedColumnFormula>IF(A4&lt;=Sisendid!$B$6,Sisendid!$B$8,"")</calculatedColumnFormula>
    </tableColumn>
    <tableColumn id="8" xr3:uid="{00000000-0010-0000-0000-000008000000}" name="Kogumakse">
      <calculatedColumnFormula>IF(A4&lt;=Sisendid!$B$6,E4+F4+G4,"")</calculatedColumnFormula>
    </tableColumn>
    <tableColumn id="9" xr3:uid="{00000000-0010-0000-0000-000009000000}" name="Lõppjääk">
      <calculatedColumnFormula>IF(A4&lt;=Sisendid!$B$6,MAX(0,C4-F4),"")</calculatedColumnFormula>
    </tableColumn>
    <tableColumn id="10" xr3:uid="{00000000-0010-0000-0000-00000A000000}" name="Kumulatiivne intress" dataDxfId="7">
      <calculatedColumnFormula>IF(A4&lt;=Sisendid!$B$6,E4,"")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senaariumidTabel" displayName="StsenaariumidTabel" ref="A3:J8">
  <tableColumns count="10">
    <tableColumn id="1" xr3:uid="{00000000-0010-0000-0100-000001000000}" name="Stsenaarium"/>
    <tableColumn id="2" xr3:uid="{00000000-0010-0000-0100-000002000000}" name="Laenusumma" dataDxfId="6"/>
    <tableColumn id="3" xr3:uid="{00000000-0010-0000-0100-000003000000}" name="Intress" dataDxfId="5"/>
    <tableColumn id="4" xr3:uid="{00000000-0010-0000-0100-000004000000}" name="Periood (kuud)" dataDxfId="4"/>
    <tableColumn id="5" xr3:uid="{00000000-0010-0000-0100-000005000000}" name="Lepingutasu" dataDxfId="3"/>
    <tableColumn id="12" xr3:uid="{8FDF46D6-6A37-405D-9269-BC40138F8527}" name="Haldustasu" dataDxfId="2">
      <calculatedColumnFormula>Sisendid!$B$8</calculatedColumnFormula>
    </tableColumn>
    <tableColumn id="11" xr3:uid="{E02F8C05-2FD3-4C28-96F4-003758145F33}" name="Kuumakse" dataDxfId="0">
      <calculatedColumnFormula>-PMT(C4/12,D4,B4)</calculatedColumnFormula>
    </tableColumn>
    <tableColumn id="6" xr3:uid="{00000000-0010-0000-0100-000006000000}" name="Kogumakse kuus" dataDxfId="1">
      <calculatedColumnFormula>G4+F4</calculatedColumnFormula>
    </tableColumn>
    <tableColumn id="7" xr3:uid="{00000000-0010-0000-0100-000007000000}" name="Kogukulu"/>
    <tableColumn id="8" xr3:uid="{00000000-0010-0000-0100-000008000000}" name="Kulukuse määr">
      <calculatedColumnFormula>(1+RATE(D4,-H4,B4-E4))^12-1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B18" sqref="B18"/>
    </sheetView>
  </sheetViews>
  <sheetFormatPr defaultRowHeight="14.4" x14ac:dyDescent="0.3"/>
  <cols>
    <col min="1" max="1" width="35.6640625" customWidth="1"/>
    <col min="2" max="2" width="18" customWidth="1"/>
    <col min="3" max="3" width="45" customWidth="1"/>
  </cols>
  <sheetData>
    <row r="1" spans="1:6" ht="19.8" x14ac:dyDescent="0.4">
      <c r="A1" s="10" t="s">
        <v>0</v>
      </c>
      <c r="B1" s="11"/>
      <c r="C1" s="11"/>
      <c r="D1" s="11"/>
      <c r="E1" s="11"/>
      <c r="F1" s="11"/>
    </row>
    <row r="3" spans="1:6" x14ac:dyDescent="0.3">
      <c r="A3" s="1" t="s">
        <v>1</v>
      </c>
      <c r="B3" s="1" t="s">
        <v>2</v>
      </c>
      <c r="C3" s="1" t="s">
        <v>3</v>
      </c>
    </row>
    <row r="4" spans="1:6" x14ac:dyDescent="0.3">
      <c r="A4" s="2" t="s">
        <v>4</v>
      </c>
      <c r="B4" s="19">
        <v>30000</v>
      </c>
      <c r="C4" s="3" t="s">
        <v>5</v>
      </c>
    </row>
    <row r="5" spans="1:6" x14ac:dyDescent="0.3">
      <c r="A5" s="2" t="s">
        <v>6</v>
      </c>
      <c r="B5" s="21">
        <v>7.9000000000000001E-2</v>
      </c>
      <c r="C5" s="3" t="s">
        <v>7</v>
      </c>
    </row>
    <row r="6" spans="1:6" x14ac:dyDescent="0.3">
      <c r="A6" s="2" t="s">
        <v>8</v>
      </c>
      <c r="B6" s="20">
        <v>84</v>
      </c>
      <c r="C6" s="3" t="s">
        <v>7</v>
      </c>
    </row>
    <row r="7" spans="1:6" x14ac:dyDescent="0.3">
      <c r="A7" s="2" t="s">
        <v>9</v>
      </c>
      <c r="B7" s="19">
        <v>600</v>
      </c>
      <c r="C7" s="3" t="s">
        <v>7</v>
      </c>
    </row>
    <row r="8" spans="1:6" x14ac:dyDescent="0.3">
      <c r="A8" s="2" t="s">
        <v>10</v>
      </c>
      <c r="B8" s="19">
        <v>3.99</v>
      </c>
      <c r="C8" s="3" t="s">
        <v>7</v>
      </c>
    </row>
    <row r="9" spans="1:6" x14ac:dyDescent="0.3">
      <c r="A9" s="2" t="s">
        <v>11</v>
      </c>
      <c r="B9" s="27">
        <v>46145</v>
      </c>
      <c r="C9" s="3" t="s">
        <v>7</v>
      </c>
    </row>
    <row r="10" spans="1:6" x14ac:dyDescent="0.3">
      <c r="A10" s="30" t="s">
        <v>62</v>
      </c>
      <c r="B10" s="31">
        <f xml:space="preserve"> EDATE(B9,B6-1)</f>
        <v>48672</v>
      </c>
      <c r="C10" s="3" t="s">
        <v>7</v>
      </c>
    </row>
    <row r="11" spans="1:6" x14ac:dyDescent="0.3">
      <c r="A11" s="2" t="s">
        <v>12</v>
      </c>
      <c r="B11" s="19">
        <v>2500</v>
      </c>
      <c r="C11" s="3" t="s">
        <v>7</v>
      </c>
    </row>
    <row r="12" spans="1:6" x14ac:dyDescent="0.3">
      <c r="A12" s="2" t="s">
        <v>13</v>
      </c>
      <c r="B12" s="19">
        <v>800</v>
      </c>
      <c r="C12" s="3" t="s">
        <v>7</v>
      </c>
    </row>
    <row r="14" spans="1:6" x14ac:dyDescent="0.3">
      <c r="A14" s="1" t="s">
        <v>14</v>
      </c>
      <c r="B14" s="1" t="s">
        <v>15</v>
      </c>
      <c r="C14" s="1" t="s">
        <v>16</v>
      </c>
    </row>
    <row r="15" spans="1:6" x14ac:dyDescent="0.3">
      <c r="A15" t="s">
        <v>17</v>
      </c>
      <c r="B15" s="5">
        <f>-PMT(B5/12,B6,B4)</f>
        <v>466.09319281411996</v>
      </c>
      <c r="C15" s="3" t="s">
        <v>18</v>
      </c>
    </row>
    <row r="16" spans="1:6" x14ac:dyDescent="0.3">
      <c r="A16" t="s">
        <v>19</v>
      </c>
      <c r="B16" s="5">
        <f>B15+B8</f>
        <v>470.08319281411997</v>
      </c>
      <c r="C16" s="3" t="s">
        <v>20</v>
      </c>
    </row>
    <row r="17" spans="1:3" x14ac:dyDescent="0.3">
      <c r="A17" t="s">
        <v>21</v>
      </c>
      <c r="B17" s="5">
        <f>B16*B6+B7</f>
        <v>40086.988196386075</v>
      </c>
      <c r="C17" s="3" t="s">
        <v>22</v>
      </c>
    </row>
    <row r="18" spans="1:3" x14ac:dyDescent="0.3">
      <c r="A18" t="s">
        <v>23</v>
      </c>
      <c r="B18" s="5">
        <f>B17-B4-B7-B8*B6</f>
        <v>9151.8281963860754</v>
      </c>
      <c r="C18" s="3" t="s">
        <v>24</v>
      </c>
    </row>
    <row r="19" spans="1:3" x14ac:dyDescent="0.3">
      <c r="A19" t="s">
        <v>25</v>
      </c>
      <c r="B19" s="6">
        <f>(1+RATE(B6,-B16,B4-B7))^12-1</f>
        <v>9.1668855047716935E-2</v>
      </c>
      <c r="C19" s="3" t="s">
        <v>26</v>
      </c>
    </row>
    <row r="20" spans="1:3" ht="28.8" x14ac:dyDescent="0.3">
      <c r="A20" s="15" t="s">
        <v>63</v>
      </c>
      <c r="B20" s="6">
        <f>(B16+B12)/B11</f>
        <v>0.50803327712564794</v>
      </c>
      <c r="C20" s="32" t="s">
        <v>64</v>
      </c>
    </row>
    <row r="22" spans="1:3" x14ac:dyDescent="0.3">
      <c r="A22" s="28"/>
      <c r="B22" s="29"/>
      <c r="C22" s="29"/>
    </row>
  </sheetData>
  <mergeCells count="2">
    <mergeCell ref="A1:F1"/>
    <mergeCell ref="A22:C22"/>
  </mergeCells>
  <dataValidations count="1">
    <dataValidation type="date" operator="greaterThanOrEqual" allowBlank="1" showInputMessage="1" showErrorMessage="1" sqref="B9" xr:uid="{B224BC4F-34C6-48E9-A8CD-24B1771706FA}">
      <formula1>B9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3"/>
  <sheetViews>
    <sheetView tabSelected="1" topLeftCell="A68" workbookViewId="0">
      <selection sqref="A1:J1"/>
    </sheetView>
  </sheetViews>
  <sheetFormatPr defaultRowHeight="14.4" x14ac:dyDescent="0.3"/>
  <cols>
    <col min="1" max="1" width="8.77734375" customWidth="1"/>
    <col min="2" max="9" width="13.77734375" customWidth="1"/>
    <col min="10" max="10" width="17.77734375" customWidth="1"/>
  </cols>
  <sheetData>
    <row r="1" spans="1:10" ht="19.8" x14ac:dyDescent="0.4">
      <c r="A1" s="10" t="s">
        <v>28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4" t="s">
        <v>53</v>
      </c>
    </row>
    <row r="4" spans="1:10" x14ac:dyDescent="0.3">
      <c r="A4" s="8">
        <v>1</v>
      </c>
      <c r="B4" s="7">
        <f>IF(A4&lt;=Sisendid!$B$6,Sisendid!$B$9,"")</f>
        <v>46145</v>
      </c>
      <c r="C4" s="4">
        <f>IF(A4&lt;=Sisendid!$B$6,Sisendid!$B$4,"")</f>
        <v>30000</v>
      </c>
      <c r="D4" s="4">
        <f>IF(A4&lt;=Sisendid!$B$6,Sisendid!$B$15,"")</f>
        <v>466.09319281411996</v>
      </c>
      <c r="E4" s="4">
        <f>IF(A4&lt;=Sisendid!$B$6,C4*(Sisendid!$B$5/12),"")</f>
        <v>197.5</v>
      </c>
      <c r="F4" s="4">
        <f>IF(A4&lt;=Sisendid!$B$6,MIN(D4-E4,C4),"")</f>
        <v>268.59319281411996</v>
      </c>
      <c r="G4" s="4">
        <f>IF(A4&lt;=Sisendid!$B$6,Sisendid!$B$8,"")</f>
        <v>3.99</v>
      </c>
      <c r="H4" s="4">
        <f>IF(A4&lt;=Sisendid!$B$6,E4+F4+G4,"")</f>
        <v>470.08319281411997</v>
      </c>
      <c r="I4" s="4">
        <f>IF(A4&lt;=Sisendid!$B$6,MAX(0,C4-F4),"")</f>
        <v>29731.406807185878</v>
      </c>
      <c r="J4" s="4">
        <f>IF(A4&lt;=Sisendid!$B$6,E4,"")</f>
        <v>197.5</v>
      </c>
    </row>
    <row r="5" spans="1:10" x14ac:dyDescent="0.3">
      <c r="A5" s="8">
        <v>2</v>
      </c>
      <c r="B5" s="7">
        <f>IF(A5&lt;=Sisendid!$B$6,EDATE($B$4,A5-1),"")</f>
        <v>46176</v>
      </c>
      <c r="C5" s="4">
        <f>IF(A5&lt;=Sisendid!$B$6,I4,"")</f>
        <v>29731.406807185878</v>
      </c>
      <c r="D5" s="4">
        <f>IF(A5&lt;=Sisendid!$B$6,Sisendid!$B$15,"")</f>
        <v>466.09319281411996</v>
      </c>
      <c r="E5" s="4">
        <f>IF(A5&lt;=Sisendid!$B$6,C5*(Sisendid!$B$5/12),"")</f>
        <v>195.73176148064036</v>
      </c>
      <c r="F5" s="4">
        <f>IF(A5&lt;=Sisendid!$B$6,MIN(D5-E5,C5),"")</f>
        <v>270.36143133347957</v>
      </c>
      <c r="G5" s="4">
        <f>IF(A5&lt;=Sisendid!$B$6,Sisendid!$B$8,"")</f>
        <v>3.99</v>
      </c>
      <c r="H5" s="4">
        <f>IF(A5&lt;=Sisendid!$B$6,E5+F5+G5,"")</f>
        <v>470.08319281411991</v>
      </c>
      <c r="I5" s="4">
        <f>IF(A5&lt;=Sisendid!$B$6,MAX(0,C5-F5),"")</f>
        <v>29461.045375852398</v>
      </c>
      <c r="J5" s="4">
        <f>IF(A5&lt;=Sisendid!$B$6,J4+E5,"")</f>
        <v>393.23176148064033</v>
      </c>
    </row>
    <row r="6" spans="1:10" x14ac:dyDescent="0.3">
      <c r="A6" s="8">
        <v>3</v>
      </c>
      <c r="B6" s="7">
        <f>IF(A6&lt;=Sisendid!$B$6,EDATE($B$4,A6-1),"")</f>
        <v>46206</v>
      </c>
      <c r="C6" s="4">
        <f>IF(A6&lt;=Sisendid!$B$6,I5,"")</f>
        <v>29461.045375852398</v>
      </c>
      <c r="D6" s="4">
        <f>IF(A6&lt;=Sisendid!$B$6,Sisendid!$B$15,"")</f>
        <v>466.09319281411996</v>
      </c>
      <c r="E6" s="4">
        <f>IF(A6&lt;=Sisendid!$B$6,C6*(Sisendid!$B$5/12),"")</f>
        <v>193.95188205769495</v>
      </c>
      <c r="F6" s="4">
        <f>IF(A6&lt;=Sisendid!$B$6,MIN(D6-E6,C6),"")</f>
        <v>272.14131075642501</v>
      </c>
      <c r="G6" s="4">
        <f>IF(A6&lt;=Sisendid!$B$6,Sisendid!$B$8,"")</f>
        <v>3.99</v>
      </c>
      <c r="H6" s="4">
        <f>IF(A6&lt;=Sisendid!$B$6,E6+F6+G6,"")</f>
        <v>470.08319281411997</v>
      </c>
      <c r="I6" s="4">
        <f>IF(A6&lt;=Sisendid!$B$6,MAX(0,C6-F6),"")</f>
        <v>29188.904065095972</v>
      </c>
      <c r="J6" s="4">
        <f>IF(A6&lt;=Sisendid!$B$6,J5+E6,"")</f>
        <v>587.18364353833522</v>
      </c>
    </row>
    <row r="7" spans="1:10" x14ac:dyDescent="0.3">
      <c r="A7" s="8">
        <v>4</v>
      </c>
      <c r="B7" s="7">
        <f>IF(A7&lt;=Sisendid!$B$6,EDATE($B$4,A7-1),"")</f>
        <v>46237</v>
      </c>
      <c r="C7" s="4">
        <f>IF(A7&lt;=Sisendid!$B$6,I6,"")</f>
        <v>29188.904065095972</v>
      </c>
      <c r="D7" s="4">
        <f>IF(A7&lt;=Sisendid!$B$6,Sisendid!$B$15,"")</f>
        <v>466.09319281411996</v>
      </c>
      <c r="E7" s="4">
        <f>IF(A7&lt;=Sisendid!$B$6,C7*(Sisendid!$B$5/12),"")</f>
        <v>192.16028509521516</v>
      </c>
      <c r="F7" s="4">
        <f>IF(A7&lt;=Sisendid!$B$6,MIN(D7-E7,C7),"")</f>
        <v>273.9329077189048</v>
      </c>
      <c r="G7" s="4">
        <f>IF(A7&lt;=Sisendid!$B$6,Sisendid!$B$8,"")</f>
        <v>3.99</v>
      </c>
      <c r="H7" s="4">
        <f>IF(A7&lt;=Sisendid!$B$6,E7+F7+G7,"")</f>
        <v>470.08319281411997</v>
      </c>
      <c r="I7" s="4">
        <f>IF(A7&lt;=Sisendid!$B$6,MAX(0,C7-F7),"")</f>
        <v>28914.971157377069</v>
      </c>
      <c r="J7" s="4">
        <f>IF(A7&lt;=Sisendid!$B$6,J6+E7,"")</f>
        <v>779.34392863355038</v>
      </c>
    </row>
    <row r="8" spans="1:10" x14ac:dyDescent="0.3">
      <c r="A8" s="8">
        <v>5</v>
      </c>
      <c r="B8" s="7">
        <f>IF(A8&lt;=Sisendid!$B$6,EDATE($B$4,A8-1),"")</f>
        <v>46268</v>
      </c>
      <c r="C8" s="4">
        <f>IF(A8&lt;=Sisendid!$B$6,I7,"")</f>
        <v>28914.971157377069</v>
      </c>
      <c r="D8" s="4">
        <f>IF(A8&lt;=Sisendid!$B$6,Sisendid!$B$15,"")</f>
        <v>466.09319281411996</v>
      </c>
      <c r="E8" s="4">
        <f>IF(A8&lt;=Sisendid!$B$6,C8*(Sisendid!$B$5/12),"")</f>
        <v>190.35689345273238</v>
      </c>
      <c r="F8" s="4">
        <f>IF(A8&lt;=Sisendid!$B$6,MIN(D8-E8,C8),"")</f>
        <v>275.73629936138758</v>
      </c>
      <c r="G8" s="4">
        <f>IF(A8&lt;=Sisendid!$B$6,Sisendid!$B$8,"")</f>
        <v>3.99</v>
      </c>
      <c r="H8" s="4">
        <f>IF(A8&lt;=Sisendid!$B$6,E8+F8+G8,"")</f>
        <v>470.08319281411997</v>
      </c>
      <c r="I8" s="4">
        <f>IF(A8&lt;=Sisendid!$B$6,MAX(0,C8-F8),"")</f>
        <v>28639.234858015683</v>
      </c>
      <c r="J8" s="4">
        <f>IF(A8&lt;=Sisendid!$B$6,J7+E8,"")</f>
        <v>969.70082208628276</v>
      </c>
    </row>
    <row r="9" spans="1:10" x14ac:dyDescent="0.3">
      <c r="A9" s="8">
        <v>6</v>
      </c>
      <c r="B9" s="7">
        <f>IF(A9&lt;=Sisendid!$B$6,EDATE($B$4,A9-1),"")</f>
        <v>46298</v>
      </c>
      <c r="C9" s="4">
        <f>IF(A9&lt;=Sisendid!$B$6,I8,"")</f>
        <v>28639.234858015683</v>
      </c>
      <c r="D9" s="4">
        <f>IF(A9&lt;=Sisendid!$B$6,Sisendid!$B$15,"")</f>
        <v>466.09319281411996</v>
      </c>
      <c r="E9" s="4">
        <f>IF(A9&lt;=Sisendid!$B$6,C9*(Sisendid!$B$5/12),"")</f>
        <v>188.54162948193658</v>
      </c>
      <c r="F9" s="4">
        <f>IF(A9&lt;=Sisendid!$B$6,MIN(D9-E9,C9),"")</f>
        <v>277.55156333218338</v>
      </c>
      <c r="G9" s="4">
        <f>IF(A9&lt;=Sisendid!$B$6,Sisendid!$B$8,"")</f>
        <v>3.99</v>
      </c>
      <c r="H9" s="4">
        <f>IF(A9&lt;=Sisendid!$B$6,E9+F9+G9,"")</f>
        <v>470.08319281411997</v>
      </c>
      <c r="I9" s="4">
        <f>IF(A9&lt;=Sisendid!$B$6,MAX(0,C9-F9),"")</f>
        <v>28361.683294683498</v>
      </c>
      <c r="J9" s="4">
        <f>IF(A9&lt;=Sisendid!$B$6,J8+E9,"")</f>
        <v>1158.2424515682194</v>
      </c>
    </row>
    <row r="10" spans="1:10" x14ac:dyDescent="0.3">
      <c r="A10" s="8">
        <v>7</v>
      </c>
      <c r="B10" s="7">
        <f>IF(A10&lt;=Sisendid!$B$6,EDATE($B$4,A10-1),"")</f>
        <v>46329</v>
      </c>
      <c r="C10" s="4">
        <f>IF(A10&lt;=Sisendid!$B$6,I9,"")</f>
        <v>28361.683294683498</v>
      </c>
      <c r="D10" s="4">
        <f>IF(A10&lt;=Sisendid!$B$6,Sisendid!$B$15,"")</f>
        <v>466.09319281411996</v>
      </c>
      <c r="E10" s="4">
        <f>IF(A10&lt;=Sisendid!$B$6,C10*(Sisendid!$B$5/12),"")</f>
        <v>186.71441502333303</v>
      </c>
      <c r="F10" s="4">
        <f>IF(A10&lt;=Sisendid!$B$6,MIN(D10-E10,C10),"")</f>
        <v>279.3787777907869</v>
      </c>
      <c r="G10" s="4">
        <f>IF(A10&lt;=Sisendid!$B$6,Sisendid!$B$8,"")</f>
        <v>3.99</v>
      </c>
      <c r="H10" s="4">
        <f>IF(A10&lt;=Sisendid!$B$6,E10+F10+G10,"")</f>
        <v>470.08319281411991</v>
      </c>
      <c r="I10" s="4">
        <f>IF(A10&lt;=Sisendid!$B$6,MAX(0,C10-F10),"")</f>
        <v>28082.304516892713</v>
      </c>
      <c r="J10" s="4">
        <f>IF(A10&lt;=Sisendid!$B$6,J9+E10,"")</f>
        <v>1344.9568665915524</v>
      </c>
    </row>
    <row r="11" spans="1:10" x14ac:dyDescent="0.3">
      <c r="A11" s="8">
        <v>8</v>
      </c>
      <c r="B11" s="7">
        <f>IF(A11&lt;=Sisendid!$B$6,EDATE($B$4,A11-1),"")</f>
        <v>46359</v>
      </c>
      <c r="C11" s="4">
        <f>IF(A11&lt;=Sisendid!$B$6,I10,"")</f>
        <v>28082.304516892713</v>
      </c>
      <c r="D11" s="4">
        <f>IF(A11&lt;=Sisendid!$B$6,Sisendid!$B$15,"")</f>
        <v>466.09319281411996</v>
      </c>
      <c r="E11" s="4">
        <f>IF(A11&lt;=Sisendid!$B$6,C11*(Sisendid!$B$5/12),"")</f>
        <v>184.87517140287702</v>
      </c>
      <c r="F11" s="4">
        <f>IF(A11&lt;=Sisendid!$B$6,MIN(D11-E11,C11),"")</f>
        <v>281.21802141124294</v>
      </c>
      <c r="G11" s="4">
        <f>IF(A11&lt;=Sisendid!$B$6,Sisendid!$B$8,"")</f>
        <v>3.99</v>
      </c>
      <c r="H11" s="4">
        <f>IF(A11&lt;=Sisendid!$B$6,E11+F11+G11,"")</f>
        <v>470.08319281411997</v>
      </c>
      <c r="I11" s="4">
        <f>IF(A11&lt;=Sisendid!$B$6,MAX(0,C11-F11),"")</f>
        <v>27801.086495481472</v>
      </c>
      <c r="J11" s="4">
        <f>IF(A11&lt;=Sisendid!$B$6,J10+E11,"")</f>
        <v>1529.8320379944294</v>
      </c>
    </row>
    <row r="12" spans="1:10" x14ac:dyDescent="0.3">
      <c r="A12" s="8">
        <v>9</v>
      </c>
      <c r="B12" s="7">
        <f>IF(A12&lt;=Sisendid!$B$6,EDATE($B$4,A12-1),"")</f>
        <v>46390</v>
      </c>
      <c r="C12" s="4">
        <f>IF(A12&lt;=Sisendid!$B$6,I11,"")</f>
        <v>27801.086495481472</v>
      </c>
      <c r="D12" s="4">
        <f>IF(A12&lt;=Sisendid!$B$6,Sisendid!$B$15,"")</f>
        <v>466.09319281411996</v>
      </c>
      <c r="E12" s="4">
        <f>IF(A12&lt;=Sisendid!$B$6,C12*(Sisendid!$B$5/12),"")</f>
        <v>183.02381942858636</v>
      </c>
      <c r="F12" s="4">
        <f>IF(A12&lt;=Sisendid!$B$6,MIN(D12-E12,C12),"")</f>
        <v>283.06937338553359</v>
      </c>
      <c r="G12" s="4">
        <f>IF(A12&lt;=Sisendid!$B$6,Sisendid!$B$8,"")</f>
        <v>3.99</v>
      </c>
      <c r="H12" s="4">
        <f>IF(A12&lt;=Sisendid!$B$6,E12+F12+G12,"")</f>
        <v>470.08319281411997</v>
      </c>
      <c r="I12" s="4">
        <f>IF(A12&lt;=Sisendid!$B$6,MAX(0,C12-F12),"")</f>
        <v>27518.017122095938</v>
      </c>
      <c r="J12" s="4">
        <f>IF(A12&lt;=Sisendid!$B$6,J11+E12,"")</f>
        <v>1712.8558574230158</v>
      </c>
    </row>
    <row r="13" spans="1:10" x14ac:dyDescent="0.3">
      <c r="A13" s="8">
        <v>10</v>
      </c>
      <c r="B13" s="7">
        <f>IF(A13&lt;=Sisendid!$B$6,EDATE($B$4,A13-1),"")</f>
        <v>46421</v>
      </c>
      <c r="C13" s="4">
        <f>IF(A13&lt;=Sisendid!$B$6,I12,"")</f>
        <v>27518.017122095938</v>
      </c>
      <c r="D13" s="4">
        <f>IF(A13&lt;=Sisendid!$B$6,Sisendid!$B$15,"")</f>
        <v>466.09319281411996</v>
      </c>
      <c r="E13" s="4">
        <f>IF(A13&lt;=Sisendid!$B$6,C13*(Sisendid!$B$5/12),"")</f>
        <v>181.1602793871316</v>
      </c>
      <c r="F13" s="4">
        <f>IF(A13&lt;=Sisendid!$B$6,MIN(D13-E13,C13),"")</f>
        <v>284.93291342698836</v>
      </c>
      <c r="G13" s="4">
        <f>IF(A13&lt;=Sisendid!$B$6,Sisendid!$B$8,"")</f>
        <v>3.99</v>
      </c>
      <c r="H13" s="4">
        <f>IF(A13&lt;=Sisendid!$B$6,E13+F13+G13,"")</f>
        <v>470.08319281411997</v>
      </c>
      <c r="I13" s="4">
        <f>IF(A13&lt;=Sisendid!$B$6,MAX(0,C13-F13),"")</f>
        <v>27233.084208668948</v>
      </c>
      <c r="J13" s="4">
        <f>IF(A13&lt;=Sisendid!$B$6,J12+E13,"")</f>
        <v>1894.0161368101474</v>
      </c>
    </row>
    <row r="14" spans="1:10" x14ac:dyDescent="0.3">
      <c r="A14" s="8">
        <v>11</v>
      </c>
      <c r="B14" s="7">
        <f>IF(A14&lt;=Sisendid!$B$6,EDATE($B$4,A14-1),"")</f>
        <v>46449</v>
      </c>
      <c r="C14" s="4">
        <f>IF(A14&lt;=Sisendid!$B$6,I13,"")</f>
        <v>27233.084208668948</v>
      </c>
      <c r="D14" s="4">
        <f>IF(A14&lt;=Sisendid!$B$6,Sisendid!$B$15,"")</f>
        <v>466.09319281411996</v>
      </c>
      <c r="E14" s="4">
        <f>IF(A14&lt;=Sisendid!$B$6,C14*(Sisendid!$B$5/12),"")</f>
        <v>179.2844710404039</v>
      </c>
      <c r="F14" s="4">
        <f>IF(A14&lt;=Sisendid!$B$6,MIN(D14-E14,C14),"")</f>
        <v>286.80872177371606</v>
      </c>
      <c r="G14" s="4">
        <f>IF(A14&lt;=Sisendid!$B$6,Sisendid!$B$8,"")</f>
        <v>3.99</v>
      </c>
      <c r="H14" s="4">
        <f>IF(A14&lt;=Sisendid!$B$6,E14+F14+G14,"")</f>
        <v>470.08319281411997</v>
      </c>
      <c r="I14" s="4">
        <f>IF(A14&lt;=Sisendid!$B$6,MAX(0,C14-F14),"")</f>
        <v>26946.275486895232</v>
      </c>
      <c r="J14" s="4">
        <f>IF(A14&lt;=Sisendid!$B$6,J13+E14,"")</f>
        <v>2073.3006078505514</v>
      </c>
    </row>
    <row r="15" spans="1:10" x14ac:dyDescent="0.3">
      <c r="A15" s="8">
        <v>12</v>
      </c>
      <c r="B15" s="7">
        <f>IF(A15&lt;=Sisendid!$B$6,EDATE($B$4,A15-1),"")</f>
        <v>46480</v>
      </c>
      <c r="C15" s="4">
        <f>IF(A15&lt;=Sisendid!$B$6,I14,"")</f>
        <v>26946.275486895232</v>
      </c>
      <c r="D15" s="4">
        <f>IF(A15&lt;=Sisendid!$B$6,Sisendid!$B$15,"")</f>
        <v>466.09319281411996</v>
      </c>
      <c r="E15" s="4">
        <f>IF(A15&lt;=Sisendid!$B$6,C15*(Sisendid!$B$5/12),"")</f>
        <v>177.39631362206029</v>
      </c>
      <c r="F15" s="4">
        <f>IF(A15&lt;=Sisendid!$B$6,MIN(D15-E15,C15),"")</f>
        <v>288.69687919205967</v>
      </c>
      <c r="G15" s="4">
        <f>IF(A15&lt;=Sisendid!$B$6,Sisendid!$B$8,"")</f>
        <v>3.99</v>
      </c>
      <c r="H15" s="4">
        <f>IF(A15&lt;=Sisendid!$B$6,E15+F15+G15,"")</f>
        <v>470.08319281411997</v>
      </c>
      <c r="I15" s="4">
        <f>IF(A15&lt;=Sisendid!$B$6,MAX(0,C15-F15),"")</f>
        <v>26657.578607703173</v>
      </c>
      <c r="J15" s="4">
        <f>IF(A15&lt;=Sisendid!$B$6,J14+E15,"")</f>
        <v>2250.6969214726118</v>
      </c>
    </row>
    <row r="16" spans="1:10" x14ac:dyDescent="0.3">
      <c r="A16" s="8">
        <v>13</v>
      </c>
      <c r="B16" s="7">
        <f>IF(A16&lt;=Sisendid!$B$6,EDATE($B$4,A16-1),"")</f>
        <v>46510</v>
      </c>
      <c r="C16" s="4">
        <f>IF(A16&lt;=Sisendid!$B$6,I15,"")</f>
        <v>26657.578607703173</v>
      </c>
      <c r="D16" s="4">
        <f>IF(A16&lt;=Sisendid!$B$6,Sisendid!$B$15,"")</f>
        <v>466.09319281411996</v>
      </c>
      <c r="E16" s="4">
        <f>IF(A16&lt;=Sisendid!$B$6,C16*(Sisendid!$B$5/12),"")</f>
        <v>175.49572583404588</v>
      </c>
      <c r="F16" s="4">
        <f>IF(A16&lt;=Sisendid!$B$6,MIN(D16-E16,C16),"")</f>
        <v>290.59746698007405</v>
      </c>
      <c r="G16" s="4">
        <f>IF(A16&lt;=Sisendid!$B$6,Sisendid!$B$8,"")</f>
        <v>3.99</v>
      </c>
      <c r="H16" s="4">
        <f>IF(A16&lt;=Sisendid!$B$6,E16+F16+G16,"")</f>
        <v>470.08319281411991</v>
      </c>
      <c r="I16" s="4">
        <f>IF(A16&lt;=Sisendid!$B$6,MAX(0,C16-F16),"")</f>
        <v>26366.981140723099</v>
      </c>
      <c r="J16" s="4">
        <f>IF(A16&lt;=Sisendid!$B$6,J15+E16,"")</f>
        <v>2426.1926473066578</v>
      </c>
    </row>
    <row r="17" spans="1:10" x14ac:dyDescent="0.3">
      <c r="A17" s="8">
        <v>14</v>
      </c>
      <c r="B17" s="7">
        <f>IF(A17&lt;=Sisendid!$B$6,EDATE($B$4,A17-1),"")</f>
        <v>46541</v>
      </c>
      <c r="C17" s="4">
        <f>IF(A17&lt;=Sisendid!$B$6,I16,"")</f>
        <v>26366.981140723099</v>
      </c>
      <c r="D17" s="4">
        <f>IF(A17&lt;=Sisendid!$B$6,Sisendid!$B$15,"")</f>
        <v>466.09319281411996</v>
      </c>
      <c r="E17" s="4">
        <f>IF(A17&lt;=Sisendid!$B$6,C17*(Sisendid!$B$5/12),"")</f>
        <v>173.58262584309375</v>
      </c>
      <c r="F17" s="4">
        <f>IF(A17&lt;=Sisendid!$B$6,MIN(D17-E17,C17),"")</f>
        <v>292.51056697102621</v>
      </c>
      <c r="G17" s="4">
        <f>IF(A17&lt;=Sisendid!$B$6,Sisendid!$B$8,"")</f>
        <v>3.99</v>
      </c>
      <c r="H17" s="4">
        <f>IF(A17&lt;=Sisendid!$B$6,E17+F17+G17,"")</f>
        <v>470.08319281411997</v>
      </c>
      <c r="I17" s="4">
        <f>IF(A17&lt;=Sisendid!$B$6,MAX(0,C17-F17),"")</f>
        <v>26074.470573752074</v>
      </c>
      <c r="J17" s="4">
        <f>IF(A17&lt;=Sisendid!$B$6,J16+E17,"")</f>
        <v>2599.7752731497517</v>
      </c>
    </row>
    <row r="18" spans="1:10" x14ac:dyDescent="0.3">
      <c r="A18" s="8">
        <v>15</v>
      </c>
      <c r="B18" s="7">
        <f>IF(A18&lt;=Sisendid!$B$6,EDATE($B$4,A18-1),"")</f>
        <v>46571</v>
      </c>
      <c r="C18" s="4">
        <f>IF(A18&lt;=Sisendid!$B$6,I17,"")</f>
        <v>26074.470573752074</v>
      </c>
      <c r="D18" s="4">
        <f>IF(A18&lt;=Sisendid!$B$6,Sisendid!$B$15,"")</f>
        <v>466.09319281411996</v>
      </c>
      <c r="E18" s="4">
        <f>IF(A18&lt;=Sisendid!$B$6,C18*(Sisendid!$B$5/12),"")</f>
        <v>171.65693127720115</v>
      </c>
      <c r="F18" s="4">
        <f>IF(A18&lt;=Sisendid!$B$6,MIN(D18-E18,C18),"")</f>
        <v>294.43626153691878</v>
      </c>
      <c r="G18" s="4">
        <f>IF(A18&lt;=Sisendid!$B$6,Sisendid!$B$8,"")</f>
        <v>3.99</v>
      </c>
      <c r="H18" s="4">
        <f>IF(A18&lt;=Sisendid!$B$6,E18+F18+G18,"")</f>
        <v>470.08319281411991</v>
      </c>
      <c r="I18" s="4">
        <f>IF(A18&lt;=Sisendid!$B$6,MAX(0,C18-F18),"")</f>
        <v>25780.034312215157</v>
      </c>
      <c r="J18" s="4">
        <f>IF(A18&lt;=Sisendid!$B$6,J17+E18,"")</f>
        <v>2771.4322044269529</v>
      </c>
    </row>
    <row r="19" spans="1:10" x14ac:dyDescent="0.3">
      <c r="A19" s="8">
        <v>16</v>
      </c>
      <c r="B19" s="7">
        <f>IF(A19&lt;=Sisendid!$B$6,EDATE($B$4,A19-1),"")</f>
        <v>46602</v>
      </c>
      <c r="C19" s="4">
        <f>IF(A19&lt;=Sisendid!$B$6,I18,"")</f>
        <v>25780.034312215157</v>
      </c>
      <c r="D19" s="4">
        <f>IF(A19&lt;=Sisendid!$B$6,Sisendid!$B$15,"")</f>
        <v>466.09319281411996</v>
      </c>
      <c r="E19" s="4">
        <f>IF(A19&lt;=Sisendid!$B$6,C19*(Sisendid!$B$5/12),"")</f>
        <v>169.71855922208312</v>
      </c>
      <c r="F19" s="4">
        <f>IF(A19&lt;=Sisendid!$B$6,MIN(D19-E19,C19),"")</f>
        <v>296.37463359203684</v>
      </c>
      <c r="G19" s="4">
        <f>IF(A19&lt;=Sisendid!$B$6,Sisendid!$B$8,"")</f>
        <v>3.99</v>
      </c>
      <c r="H19" s="4">
        <f>IF(A19&lt;=Sisendid!$B$6,E19+F19+G19,"")</f>
        <v>470.08319281411997</v>
      </c>
      <c r="I19" s="4">
        <f>IF(A19&lt;=Sisendid!$B$6,MAX(0,C19-F19),"")</f>
        <v>25483.65967862312</v>
      </c>
      <c r="J19" s="4">
        <f>IF(A19&lt;=Sisendid!$B$6,J18+E19,"")</f>
        <v>2941.150763649036</v>
      </c>
    </row>
    <row r="20" spans="1:10" x14ac:dyDescent="0.3">
      <c r="A20" s="8">
        <v>17</v>
      </c>
      <c r="B20" s="7">
        <f>IF(A20&lt;=Sisendid!$B$6,EDATE($B$4,A20-1),"")</f>
        <v>46633</v>
      </c>
      <c r="C20" s="4">
        <f>IF(A20&lt;=Sisendid!$B$6,I19,"")</f>
        <v>25483.65967862312</v>
      </c>
      <c r="D20" s="4">
        <f>IF(A20&lt;=Sisendid!$B$6,Sisendid!$B$15,"")</f>
        <v>466.09319281411996</v>
      </c>
      <c r="E20" s="4">
        <f>IF(A20&lt;=Sisendid!$B$6,C20*(Sisendid!$B$5/12),"")</f>
        <v>167.76742621760221</v>
      </c>
      <c r="F20" s="4">
        <f>IF(A20&lt;=Sisendid!$B$6,MIN(D20-E20,C20),"")</f>
        <v>298.32576659651772</v>
      </c>
      <c r="G20" s="4">
        <f>IF(A20&lt;=Sisendid!$B$6,Sisendid!$B$8,"")</f>
        <v>3.99</v>
      </c>
      <c r="H20" s="4">
        <f>IF(A20&lt;=Sisendid!$B$6,E20+F20+G20,"")</f>
        <v>470.08319281411991</v>
      </c>
      <c r="I20" s="4">
        <f>IF(A20&lt;=Sisendid!$B$6,MAX(0,C20-F20),"")</f>
        <v>25185.333912026603</v>
      </c>
      <c r="J20" s="4">
        <f>IF(A20&lt;=Sisendid!$B$6,J19+E20,"")</f>
        <v>3108.9181898666384</v>
      </c>
    </row>
    <row r="21" spans="1:10" x14ac:dyDescent="0.3">
      <c r="A21" s="8">
        <v>18</v>
      </c>
      <c r="B21" s="7">
        <f>IF(A21&lt;=Sisendid!$B$6,EDATE($B$4,A21-1),"")</f>
        <v>46663</v>
      </c>
      <c r="C21" s="4">
        <f>IF(A21&lt;=Sisendid!$B$6,I20,"")</f>
        <v>25185.333912026603</v>
      </c>
      <c r="D21" s="4">
        <f>IF(A21&lt;=Sisendid!$B$6,Sisendid!$B$15,"")</f>
        <v>466.09319281411996</v>
      </c>
      <c r="E21" s="4">
        <f>IF(A21&lt;=Sisendid!$B$6,C21*(Sisendid!$B$5/12),"")</f>
        <v>165.80344825417512</v>
      </c>
      <c r="F21" s="4">
        <f>IF(A21&lt;=Sisendid!$B$6,MIN(D21-E21,C21),"")</f>
        <v>300.28974455994484</v>
      </c>
      <c r="G21" s="4">
        <f>IF(A21&lt;=Sisendid!$B$6,Sisendid!$B$8,"")</f>
        <v>3.99</v>
      </c>
      <c r="H21" s="4">
        <f>IF(A21&lt;=Sisendid!$B$6,E21+F21+G21,"")</f>
        <v>470.08319281411997</v>
      </c>
      <c r="I21" s="4">
        <f>IF(A21&lt;=Sisendid!$B$6,MAX(0,C21-F21),"")</f>
        <v>24885.044167466658</v>
      </c>
      <c r="J21" s="4">
        <f>IF(A21&lt;=Sisendid!$B$6,J20+E21,"")</f>
        <v>3274.7216381208136</v>
      </c>
    </row>
    <row r="22" spans="1:10" x14ac:dyDescent="0.3">
      <c r="A22" s="8">
        <v>19</v>
      </c>
      <c r="B22" s="7">
        <f>IF(A22&lt;=Sisendid!$B$6,EDATE($B$4,A22-1),"")</f>
        <v>46694</v>
      </c>
      <c r="C22" s="4">
        <f>IF(A22&lt;=Sisendid!$B$6,I21,"")</f>
        <v>24885.044167466658</v>
      </c>
      <c r="D22" s="4">
        <f>IF(A22&lt;=Sisendid!$B$6,Sisendid!$B$15,"")</f>
        <v>466.09319281411996</v>
      </c>
      <c r="E22" s="4">
        <f>IF(A22&lt;=Sisendid!$B$6,C22*(Sisendid!$B$5/12),"")</f>
        <v>163.82654076915551</v>
      </c>
      <c r="F22" s="4">
        <f>IF(A22&lt;=Sisendid!$B$6,MIN(D22-E22,C22),"")</f>
        <v>302.26665204496442</v>
      </c>
      <c r="G22" s="4">
        <f>IF(A22&lt;=Sisendid!$B$6,Sisendid!$B$8,"")</f>
        <v>3.99</v>
      </c>
      <c r="H22" s="4">
        <f>IF(A22&lt;=Sisendid!$B$6,E22+F22+G22,"")</f>
        <v>470.08319281411991</v>
      </c>
      <c r="I22" s="4">
        <f>IF(A22&lt;=Sisendid!$B$6,MAX(0,C22-F22),"")</f>
        <v>24582.777515421694</v>
      </c>
      <c r="J22" s="4">
        <f>IF(A22&lt;=Sisendid!$B$6,J21+E22,"")</f>
        <v>3438.5481788899692</v>
      </c>
    </row>
    <row r="23" spans="1:10" x14ac:dyDescent="0.3">
      <c r="A23" s="8">
        <v>20</v>
      </c>
      <c r="B23" s="7">
        <f>IF(A23&lt;=Sisendid!$B$6,EDATE($B$4,A23-1),"")</f>
        <v>46724</v>
      </c>
      <c r="C23" s="4">
        <f>IF(A23&lt;=Sisendid!$B$6,I22,"")</f>
        <v>24582.777515421694</v>
      </c>
      <c r="D23" s="4">
        <f>IF(A23&lt;=Sisendid!$B$6,Sisendid!$B$15,"")</f>
        <v>466.09319281411996</v>
      </c>
      <c r="E23" s="4">
        <f>IF(A23&lt;=Sisendid!$B$6,C23*(Sisendid!$B$5/12),"")</f>
        <v>161.83661864319282</v>
      </c>
      <c r="F23" s="4">
        <f>IF(A23&lt;=Sisendid!$B$6,MIN(D23-E23,C23),"")</f>
        <v>304.25657417092714</v>
      </c>
      <c r="G23" s="4">
        <f>IF(A23&lt;=Sisendid!$B$6,Sisendid!$B$8,"")</f>
        <v>3.99</v>
      </c>
      <c r="H23" s="4">
        <f>IF(A23&lt;=Sisendid!$B$6,E23+F23+G23,"")</f>
        <v>470.08319281411997</v>
      </c>
      <c r="I23" s="4">
        <f>IF(A23&lt;=Sisendid!$B$6,MAX(0,C23-F23),"")</f>
        <v>24278.520941250768</v>
      </c>
      <c r="J23" s="4">
        <f>IF(A23&lt;=Sisendid!$B$6,J22+E23,"")</f>
        <v>3600.3847975331619</v>
      </c>
    </row>
    <row r="24" spans="1:10" x14ac:dyDescent="0.3">
      <c r="A24" s="8">
        <v>21</v>
      </c>
      <c r="B24" s="7">
        <f>IF(A24&lt;=Sisendid!$B$6,EDATE($B$4,A24-1),"")</f>
        <v>46755</v>
      </c>
      <c r="C24" s="4">
        <f>IF(A24&lt;=Sisendid!$B$6,I23,"")</f>
        <v>24278.520941250768</v>
      </c>
      <c r="D24" s="4">
        <f>IF(A24&lt;=Sisendid!$B$6,Sisendid!$B$15,"")</f>
        <v>466.09319281411996</v>
      </c>
      <c r="E24" s="4">
        <f>IF(A24&lt;=Sisendid!$B$6,C24*(Sisendid!$B$5/12),"")</f>
        <v>159.83359619656756</v>
      </c>
      <c r="F24" s="4">
        <f>IF(A24&lt;=Sisendid!$B$6,MIN(D24-E24,C24),"")</f>
        <v>306.2595966175524</v>
      </c>
      <c r="G24" s="4">
        <f>IF(A24&lt;=Sisendid!$B$6,Sisendid!$B$8,"")</f>
        <v>3.99</v>
      </c>
      <c r="H24" s="4">
        <f>IF(A24&lt;=Sisendid!$B$6,E24+F24+G24,"")</f>
        <v>470.08319281411997</v>
      </c>
      <c r="I24" s="4">
        <f>IF(A24&lt;=Sisendid!$B$6,MAX(0,C24-F24),"")</f>
        <v>23972.261344633214</v>
      </c>
      <c r="J24" s="4">
        <f>IF(A24&lt;=Sisendid!$B$6,J23+E24,"")</f>
        <v>3760.2183937297295</v>
      </c>
    </row>
    <row r="25" spans="1:10" x14ac:dyDescent="0.3">
      <c r="A25" s="8">
        <v>22</v>
      </c>
      <c r="B25" s="7">
        <f>IF(A25&lt;=Sisendid!$B$6,EDATE($B$4,A25-1),"")</f>
        <v>46786</v>
      </c>
      <c r="C25" s="4">
        <f>IF(A25&lt;=Sisendid!$B$6,I24,"")</f>
        <v>23972.261344633214</v>
      </c>
      <c r="D25" s="4">
        <f>IF(A25&lt;=Sisendid!$B$6,Sisendid!$B$15,"")</f>
        <v>466.09319281411996</v>
      </c>
      <c r="E25" s="4">
        <f>IF(A25&lt;=Sisendid!$B$6,C25*(Sisendid!$B$5/12),"")</f>
        <v>157.81738718550199</v>
      </c>
      <c r="F25" s="4">
        <f>IF(A25&lt;=Sisendid!$B$6,MIN(D25-E25,C25),"")</f>
        <v>308.27580562861795</v>
      </c>
      <c r="G25" s="4">
        <f>IF(A25&lt;=Sisendid!$B$6,Sisendid!$B$8,"")</f>
        <v>3.99</v>
      </c>
      <c r="H25" s="4">
        <f>IF(A25&lt;=Sisendid!$B$6,E25+F25+G25,"")</f>
        <v>470.08319281411991</v>
      </c>
      <c r="I25" s="4">
        <f>IF(A25&lt;=Sisendid!$B$6,MAX(0,C25-F25),"")</f>
        <v>23663.985539004596</v>
      </c>
      <c r="J25" s="4">
        <f>IF(A25&lt;=Sisendid!$B$6,J24+E25,"")</f>
        <v>3918.0357809152315</v>
      </c>
    </row>
    <row r="26" spans="1:10" x14ac:dyDescent="0.3">
      <c r="A26" s="8">
        <v>23</v>
      </c>
      <c r="B26" s="7">
        <f>IF(A26&lt;=Sisendid!$B$6,EDATE($B$4,A26-1),"")</f>
        <v>46815</v>
      </c>
      <c r="C26" s="4">
        <f>IF(A26&lt;=Sisendid!$B$6,I25,"")</f>
        <v>23663.985539004596</v>
      </c>
      <c r="D26" s="4">
        <f>IF(A26&lt;=Sisendid!$B$6,Sisendid!$B$15,"")</f>
        <v>466.09319281411996</v>
      </c>
      <c r="E26" s="4">
        <f>IF(A26&lt;=Sisendid!$B$6,C26*(Sisendid!$B$5/12),"")</f>
        <v>155.78790479844693</v>
      </c>
      <c r="F26" s="4">
        <f>IF(A26&lt;=Sisendid!$B$6,MIN(D26-E26,C26),"")</f>
        <v>310.305288015673</v>
      </c>
      <c r="G26" s="4">
        <f>IF(A26&lt;=Sisendid!$B$6,Sisendid!$B$8,"")</f>
        <v>3.99</v>
      </c>
      <c r="H26" s="4">
        <f>IF(A26&lt;=Sisendid!$B$6,E26+F26+G26,"")</f>
        <v>470.08319281411991</v>
      </c>
      <c r="I26" s="4">
        <f>IF(A26&lt;=Sisendid!$B$6,MAX(0,C26-F26),"")</f>
        <v>23353.680250988924</v>
      </c>
      <c r="J26" s="4">
        <f>IF(A26&lt;=Sisendid!$B$6,J25+E26,"")</f>
        <v>4073.8236857136785</v>
      </c>
    </row>
    <row r="27" spans="1:10" x14ac:dyDescent="0.3">
      <c r="A27" s="8">
        <v>24</v>
      </c>
      <c r="B27" s="7">
        <f>IF(A27&lt;=Sisendid!$B$6,EDATE($B$4,A27-1),"")</f>
        <v>46846</v>
      </c>
      <c r="C27" s="4">
        <f>IF(A27&lt;=Sisendid!$B$6,I26,"")</f>
        <v>23353.680250988924</v>
      </c>
      <c r="D27" s="4">
        <f>IF(A27&lt;=Sisendid!$B$6,Sisendid!$B$15,"")</f>
        <v>466.09319281411996</v>
      </c>
      <c r="E27" s="4">
        <f>IF(A27&lt;=Sisendid!$B$6,C27*(Sisendid!$B$5/12),"")</f>
        <v>153.74506165234376</v>
      </c>
      <c r="F27" s="4">
        <f>IF(A27&lt;=Sisendid!$B$6,MIN(D27-E27,C27),"")</f>
        <v>312.34813116177622</v>
      </c>
      <c r="G27" s="4">
        <f>IF(A27&lt;=Sisendid!$B$6,Sisendid!$B$8,"")</f>
        <v>3.99</v>
      </c>
      <c r="H27" s="4">
        <f>IF(A27&lt;=Sisendid!$B$6,E27+F27+G27,"")</f>
        <v>470.08319281412003</v>
      </c>
      <c r="I27" s="4">
        <f>IF(A27&lt;=Sisendid!$B$6,MAX(0,C27-F27),"")</f>
        <v>23041.332119827148</v>
      </c>
      <c r="J27" s="4">
        <f>IF(A27&lt;=Sisendid!$B$6,J26+E27,"")</f>
        <v>4227.5687473660219</v>
      </c>
    </row>
    <row r="28" spans="1:10" x14ac:dyDescent="0.3">
      <c r="A28" s="8">
        <v>25</v>
      </c>
      <c r="B28" s="7">
        <f>IF(A28&lt;=Sisendid!$B$6,EDATE($B$4,A28-1),"")</f>
        <v>46876</v>
      </c>
      <c r="C28" s="4">
        <f>IF(A28&lt;=Sisendid!$B$6,I27,"")</f>
        <v>23041.332119827148</v>
      </c>
      <c r="D28" s="4">
        <f>IF(A28&lt;=Sisendid!$B$6,Sisendid!$B$15,"")</f>
        <v>466.09319281411996</v>
      </c>
      <c r="E28" s="4">
        <f>IF(A28&lt;=Sisendid!$B$6,C28*(Sisendid!$B$5/12),"")</f>
        <v>151.68876978886206</v>
      </c>
      <c r="F28" s="4">
        <f>IF(A28&lt;=Sisendid!$B$6,MIN(D28-E28,C28),"")</f>
        <v>314.40442302525787</v>
      </c>
      <c r="G28" s="4">
        <f>IF(A28&lt;=Sisendid!$B$6,Sisendid!$B$8,"")</f>
        <v>3.99</v>
      </c>
      <c r="H28" s="4">
        <f>IF(A28&lt;=Sisendid!$B$6,E28+F28+G28,"")</f>
        <v>470.08319281411991</v>
      </c>
      <c r="I28" s="4">
        <f>IF(A28&lt;=Sisendid!$B$6,MAX(0,C28-F28),"")</f>
        <v>22726.927696801889</v>
      </c>
      <c r="J28" s="4">
        <f>IF(A28&lt;=Sisendid!$B$6,J27+E28,"")</f>
        <v>4379.2575171548842</v>
      </c>
    </row>
    <row r="29" spans="1:10" x14ac:dyDescent="0.3">
      <c r="A29" s="8">
        <v>26</v>
      </c>
      <c r="B29" s="7">
        <f>IF(A29&lt;=Sisendid!$B$6,EDATE($B$4,A29-1),"")</f>
        <v>46907</v>
      </c>
      <c r="C29" s="4">
        <f>IF(A29&lt;=Sisendid!$B$6,I28,"")</f>
        <v>22726.927696801889</v>
      </c>
      <c r="D29" s="4">
        <f>IF(A29&lt;=Sisendid!$B$6,Sisendid!$B$15,"")</f>
        <v>466.09319281411996</v>
      </c>
      <c r="E29" s="4">
        <f>IF(A29&lt;=Sisendid!$B$6,C29*(Sisendid!$B$5/12),"")</f>
        <v>149.61894067061243</v>
      </c>
      <c r="F29" s="4">
        <f>IF(A29&lt;=Sisendid!$B$6,MIN(D29-E29,C29),"")</f>
        <v>316.47425214350756</v>
      </c>
      <c r="G29" s="4">
        <f>IF(A29&lt;=Sisendid!$B$6,Sisendid!$B$8,"")</f>
        <v>3.99</v>
      </c>
      <c r="H29" s="4">
        <f>IF(A29&lt;=Sisendid!$B$6,E29+F29+G29,"")</f>
        <v>470.08319281412003</v>
      </c>
      <c r="I29" s="4">
        <f>IF(A29&lt;=Sisendid!$B$6,MAX(0,C29-F29),"")</f>
        <v>22410.453444658382</v>
      </c>
      <c r="J29" s="4">
        <f>IF(A29&lt;=Sisendid!$B$6,J28+E29,"")</f>
        <v>4528.8764578254968</v>
      </c>
    </row>
    <row r="30" spans="1:10" x14ac:dyDescent="0.3">
      <c r="A30" s="8">
        <v>27</v>
      </c>
      <c r="B30" s="7">
        <f>IF(A30&lt;=Sisendid!$B$6,EDATE($B$4,A30-1),"")</f>
        <v>46937</v>
      </c>
      <c r="C30" s="4">
        <f>IF(A30&lt;=Sisendid!$B$6,I29,"")</f>
        <v>22410.453444658382</v>
      </c>
      <c r="D30" s="4">
        <f>IF(A30&lt;=Sisendid!$B$6,Sisendid!$B$15,"")</f>
        <v>466.09319281411996</v>
      </c>
      <c r="E30" s="4">
        <f>IF(A30&lt;=Sisendid!$B$6,C30*(Sisendid!$B$5/12),"")</f>
        <v>147.53548517733435</v>
      </c>
      <c r="F30" s="4">
        <f>IF(A30&lt;=Sisendid!$B$6,MIN(D30-E30,C30),"")</f>
        <v>318.55770763678561</v>
      </c>
      <c r="G30" s="4">
        <f>IF(A30&lt;=Sisendid!$B$6,Sisendid!$B$8,"")</f>
        <v>3.99</v>
      </c>
      <c r="H30" s="4">
        <f>IF(A30&lt;=Sisendid!$B$6,E30+F30+G30,"")</f>
        <v>470.08319281411997</v>
      </c>
      <c r="I30" s="4">
        <f>IF(A30&lt;=Sisendid!$B$6,MAX(0,C30-F30),"")</f>
        <v>22091.895737021598</v>
      </c>
      <c r="J30" s="4">
        <f>IF(A30&lt;=Sisendid!$B$6,J29+E30,"")</f>
        <v>4676.4119430028313</v>
      </c>
    </row>
    <row r="31" spans="1:10" x14ac:dyDescent="0.3">
      <c r="A31" s="8">
        <v>28</v>
      </c>
      <c r="B31" s="7">
        <f>IF(A31&lt;=Sisendid!$B$6,EDATE($B$4,A31-1),"")</f>
        <v>46968</v>
      </c>
      <c r="C31" s="4">
        <f>IF(A31&lt;=Sisendid!$B$6,I30,"")</f>
        <v>22091.895737021598</v>
      </c>
      <c r="D31" s="4">
        <f>IF(A31&lt;=Sisendid!$B$6,Sisendid!$B$15,"")</f>
        <v>466.09319281411996</v>
      </c>
      <c r="E31" s="4">
        <f>IF(A31&lt;=Sisendid!$B$6,C31*(Sisendid!$B$5/12),"")</f>
        <v>145.43831360205886</v>
      </c>
      <c r="F31" s="4">
        <f>IF(A31&lt;=Sisendid!$B$6,MIN(D31-E31,C31),"")</f>
        <v>320.65487921206113</v>
      </c>
      <c r="G31" s="4">
        <f>IF(A31&lt;=Sisendid!$B$6,Sisendid!$B$8,"")</f>
        <v>3.99</v>
      </c>
      <c r="H31" s="4">
        <f>IF(A31&lt;=Sisendid!$B$6,E31+F31+G31,"")</f>
        <v>470.08319281412003</v>
      </c>
      <c r="I31" s="4">
        <f>IF(A31&lt;=Sisendid!$B$6,MAX(0,C31-F31),"")</f>
        <v>21771.240857809535</v>
      </c>
      <c r="J31" s="4">
        <f>IF(A31&lt;=Sisendid!$B$6,J30+E31,"")</f>
        <v>4821.8502566048901</v>
      </c>
    </row>
    <row r="32" spans="1:10" x14ac:dyDescent="0.3">
      <c r="A32" s="8">
        <v>29</v>
      </c>
      <c r="B32" s="7">
        <f>IF(A32&lt;=Sisendid!$B$6,EDATE($B$4,A32-1),"")</f>
        <v>46999</v>
      </c>
      <c r="C32" s="4">
        <f>IF(A32&lt;=Sisendid!$B$6,I31,"")</f>
        <v>21771.240857809535</v>
      </c>
      <c r="D32" s="4">
        <f>IF(A32&lt;=Sisendid!$B$6,Sisendid!$B$15,"")</f>
        <v>466.09319281411996</v>
      </c>
      <c r="E32" s="4">
        <f>IF(A32&lt;=Sisendid!$B$6,C32*(Sisendid!$B$5/12),"")</f>
        <v>143.32733564724612</v>
      </c>
      <c r="F32" s="4">
        <f>IF(A32&lt;=Sisendid!$B$6,MIN(D32-E32,C32),"")</f>
        <v>322.76585716687384</v>
      </c>
      <c r="G32" s="4">
        <f>IF(A32&lt;=Sisendid!$B$6,Sisendid!$B$8,"")</f>
        <v>3.99</v>
      </c>
      <c r="H32" s="4">
        <f>IF(A32&lt;=Sisendid!$B$6,E32+F32+G32,"")</f>
        <v>470.08319281411997</v>
      </c>
      <c r="I32" s="4">
        <f>IF(A32&lt;=Sisendid!$B$6,MAX(0,C32-F32),"")</f>
        <v>21448.475000642662</v>
      </c>
      <c r="J32" s="4">
        <f>IF(A32&lt;=Sisendid!$B$6,J31+E32,"")</f>
        <v>4965.1775922521365</v>
      </c>
    </row>
    <row r="33" spans="1:10" x14ac:dyDescent="0.3">
      <c r="A33" s="8">
        <v>30</v>
      </c>
      <c r="B33" s="7">
        <f>IF(A33&lt;=Sisendid!$B$6,EDATE($B$4,A33-1),"")</f>
        <v>47029</v>
      </c>
      <c r="C33" s="4">
        <f>IF(A33&lt;=Sisendid!$B$6,I32,"")</f>
        <v>21448.475000642662</v>
      </c>
      <c r="D33" s="4">
        <f>IF(A33&lt;=Sisendid!$B$6,Sisendid!$B$15,"")</f>
        <v>466.09319281411996</v>
      </c>
      <c r="E33" s="4">
        <f>IF(A33&lt;=Sisendid!$B$6,C33*(Sisendid!$B$5/12),"")</f>
        <v>141.20246042089752</v>
      </c>
      <c r="F33" s="4">
        <f>IF(A33&lt;=Sisendid!$B$6,MIN(D33-E33,C33),"")</f>
        <v>324.89073239322244</v>
      </c>
      <c r="G33" s="4">
        <f>IF(A33&lt;=Sisendid!$B$6,Sisendid!$B$8,"")</f>
        <v>3.99</v>
      </c>
      <c r="H33" s="4">
        <f>IF(A33&lt;=Sisendid!$B$6,E33+F33+G33,"")</f>
        <v>470.08319281411997</v>
      </c>
      <c r="I33" s="4">
        <f>IF(A33&lt;=Sisendid!$B$6,MAX(0,C33-F33),"")</f>
        <v>21123.58426824944</v>
      </c>
      <c r="J33" s="4">
        <f>IF(A33&lt;=Sisendid!$B$6,J32+E33,"")</f>
        <v>5106.3800526730338</v>
      </c>
    </row>
    <row r="34" spans="1:10" x14ac:dyDescent="0.3">
      <c r="A34" s="8">
        <v>31</v>
      </c>
      <c r="B34" s="7">
        <f>IF(A34&lt;=Sisendid!$B$6,EDATE($B$4,A34-1),"")</f>
        <v>47060</v>
      </c>
      <c r="C34" s="4">
        <f>IF(A34&lt;=Sisendid!$B$6,I33,"")</f>
        <v>21123.58426824944</v>
      </c>
      <c r="D34" s="4">
        <f>IF(A34&lt;=Sisendid!$B$6,Sisendid!$B$15,"")</f>
        <v>466.09319281411996</v>
      </c>
      <c r="E34" s="4">
        <f>IF(A34&lt;=Sisendid!$B$6,C34*(Sisendid!$B$5/12),"")</f>
        <v>139.06359643264216</v>
      </c>
      <c r="F34" s="4">
        <f>IF(A34&lt;=Sisendid!$B$6,MIN(D34-E34,C34),"")</f>
        <v>327.0295963814778</v>
      </c>
      <c r="G34" s="4">
        <f>IF(A34&lt;=Sisendid!$B$6,Sisendid!$B$8,"")</f>
        <v>3.99</v>
      </c>
      <c r="H34" s="4">
        <f>IF(A34&lt;=Sisendid!$B$6,E34+F34+G34,"")</f>
        <v>470.08319281411997</v>
      </c>
      <c r="I34" s="4">
        <f>IF(A34&lt;=Sisendid!$B$6,MAX(0,C34-F34),"")</f>
        <v>20796.554671867962</v>
      </c>
      <c r="J34" s="4">
        <f>IF(A34&lt;=Sisendid!$B$6,J33+E34,"")</f>
        <v>5245.4436491056758</v>
      </c>
    </row>
    <row r="35" spans="1:10" x14ac:dyDescent="0.3">
      <c r="A35" s="8">
        <v>32</v>
      </c>
      <c r="B35" s="7">
        <f>IF(A35&lt;=Sisendid!$B$6,EDATE($B$4,A35-1),"")</f>
        <v>47090</v>
      </c>
      <c r="C35" s="4">
        <f>IF(A35&lt;=Sisendid!$B$6,I34,"")</f>
        <v>20796.554671867962</v>
      </c>
      <c r="D35" s="4">
        <f>IF(A35&lt;=Sisendid!$B$6,Sisendid!$B$15,"")</f>
        <v>466.09319281411996</v>
      </c>
      <c r="E35" s="4">
        <f>IF(A35&lt;=Sisendid!$B$6,C35*(Sisendid!$B$5/12),"")</f>
        <v>136.91065158979742</v>
      </c>
      <c r="F35" s="4">
        <f>IF(A35&lt;=Sisendid!$B$6,MIN(D35-E35,C35),"")</f>
        <v>329.18254122432256</v>
      </c>
      <c r="G35" s="4">
        <f>IF(A35&lt;=Sisendid!$B$6,Sisendid!$B$8,"")</f>
        <v>3.99</v>
      </c>
      <c r="H35" s="4">
        <f>IF(A35&lt;=Sisendid!$B$6,E35+F35+G35,"")</f>
        <v>470.08319281412003</v>
      </c>
      <c r="I35" s="4">
        <f>IF(A35&lt;=Sisendid!$B$6,MAX(0,C35-F35),"")</f>
        <v>20467.372130643638</v>
      </c>
      <c r="J35" s="4">
        <f>IF(A35&lt;=Sisendid!$B$6,J34+E35,"")</f>
        <v>5382.3543006954733</v>
      </c>
    </row>
    <row r="36" spans="1:10" x14ac:dyDescent="0.3">
      <c r="A36" s="8">
        <v>33</v>
      </c>
      <c r="B36" s="7">
        <f>IF(A36&lt;=Sisendid!$B$6,EDATE($B$4,A36-1),"")</f>
        <v>47121</v>
      </c>
      <c r="C36" s="4">
        <f>IF(A36&lt;=Sisendid!$B$6,I35,"")</f>
        <v>20467.372130643638</v>
      </c>
      <c r="D36" s="4">
        <f>IF(A36&lt;=Sisendid!$B$6,Sisendid!$B$15,"")</f>
        <v>466.09319281411996</v>
      </c>
      <c r="E36" s="4">
        <f>IF(A36&lt;=Sisendid!$B$6,C36*(Sisendid!$B$5/12),"")</f>
        <v>134.74353319340395</v>
      </c>
      <c r="F36" s="4">
        <f>IF(A36&lt;=Sisendid!$B$6,MIN(D36-E36,C36),"")</f>
        <v>331.34965962071601</v>
      </c>
      <c r="G36" s="4">
        <f>IF(A36&lt;=Sisendid!$B$6,Sisendid!$B$8,"")</f>
        <v>3.99</v>
      </c>
      <c r="H36" s="4">
        <f>IF(A36&lt;=Sisendid!$B$6,E36+F36+G36,"")</f>
        <v>470.08319281411997</v>
      </c>
      <c r="I36" s="4">
        <f>IF(A36&lt;=Sisendid!$B$6,MAX(0,C36-F36),"")</f>
        <v>20136.022471022923</v>
      </c>
      <c r="J36" s="4">
        <f>IF(A36&lt;=Sisendid!$B$6,J35+E36,"")</f>
        <v>5517.0978338888772</v>
      </c>
    </row>
    <row r="37" spans="1:10" x14ac:dyDescent="0.3">
      <c r="A37" s="8">
        <v>34</v>
      </c>
      <c r="B37" s="7">
        <f>IF(A37&lt;=Sisendid!$B$6,EDATE($B$4,A37-1),"")</f>
        <v>47152</v>
      </c>
      <c r="C37" s="4">
        <f>IF(A37&lt;=Sisendid!$B$6,I36,"")</f>
        <v>20136.022471022923</v>
      </c>
      <c r="D37" s="4">
        <f>IF(A37&lt;=Sisendid!$B$6,Sisendid!$B$15,"")</f>
        <v>466.09319281411996</v>
      </c>
      <c r="E37" s="4">
        <f>IF(A37&lt;=Sisendid!$B$6,C37*(Sisendid!$B$5/12),"")</f>
        <v>132.56214793423425</v>
      </c>
      <c r="F37" s="4">
        <f>IF(A37&lt;=Sisendid!$B$6,MIN(D37-E37,C37),"")</f>
        <v>333.53104487988571</v>
      </c>
      <c r="G37" s="4">
        <f>IF(A37&lt;=Sisendid!$B$6,Sisendid!$B$8,"")</f>
        <v>3.99</v>
      </c>
      <c r="H37" s="4">
        <f>IF(A37&lt;=Sisendid!$B$6,E37+F37+G37,"")</f>
        <v>470.08319281411997</v>
      </c>
      <c r="I37" s="4">
        <f>IF(A37&lt;=Sisendid!$B$6,MAX(0,C37-F37),"")</f>
        <v>19802.491426143039</v>
      </c>
      <c r="J37" s="4">
        <f>IF(A37&lt;=Sisendid!$B$6,J36+E37,"")</f>
        <v>5649.6599818231116</v>
      </c>
    </row>
    <row r="38" spans="1:10" x14ac:dyDescent="0.3">
      <c r="A38" s="8">
        <v>35</v>
      </c>
      <c r="B38" s="7">
        <f>IF(A38&lt;=Sisendid!$B$6,EDATE($B$4,A38-1),"")</f>
        <v>47180</v>
      </c>
      <c r="C38" s="4">
        <f>IF(A38&lt;=Sisendid!$B$6,I37,"")</f>
        <v>19802.491426143039</v>
      </c>
      <c r="D38" s="4">
        <f>IF(A38&lt;=Sisendid!$B$6,Sisendid!$B$15,"")</f>
        <v>466.09319281411996</v>
      </c>
      <c r="E38" s="4">
        <f>IF(A38&lt;=Sisendid!$B$6,C38*(Sisendid!$B$5/12),"")</f>
        <v>130.36640188877502</v>
      </c>
      <c r="F38" s="4">
        <f>IF(A38&lt;=Sisendid!$B$6,MIN(D38-E38,C38),"")</f>
        <v>335.72679092534497</v>
      </c>
      <c r="G38" s="4">
        <f>IF(A38&lt;=Sisendid!$B$6,Sisendid!$B$8,"")</f>
        <v>3.99</v>
      </c>
      <c r="H38" s="4">
        <f>IF(A38&lt;=Sisendid!$B$6,E38+F38+G38,"")</f>
        <v>470.08319281412003</v>
      </c>
      <c r="I38" s="4">
        <f>IF(A38&lt;=Sisendid!$B$6,MAX(0,C38-F38),"")</f>
        <v>19466.764635217693</v>
      </c>
      <c r="J38" s="4">
        <f>IF(A38&lt;=Sisendid!$B$6,J37+E38,"")</f>
        <v>5780.0263837118864</v>
      </c>
    </row>
    <row r="39" spans="1:10" x14ac:dyDescent="0.3">
      <c r="A39" s="8">
        <v>36</v>
      </c>
      <c r="B39" s="7">
        <f>IF(A39&lt;=Sisendid!$B$6,EDATE($B$4,A39-1),"")</f>
        <v>47211</v>
      </c>
      <c r="C39" s="4">
        <f>IF(A39&lt;=Sisendid!$B$6,I38,"")</f>
        <v>19466.764635217693</v>
      </c>
      <c r="D39" s="4">
        <f>IF(A39&lt;=Sisendid!$B$6,Sisendid!$B$15,"")</f>
        <v>466.09319281411996</v>
      </c>
      <c r="E39" s="4">
        <f>IF(A39&lt;=Sisendid!$B$6,C39*(Sisendid!$B$5/12),"")</f>
        <v>128.15620051518314</v>
      </c>
      <c r="F39" s="4">
        <f>IF(A39&lt;=Sisendid!$B$6,MIN(D39-E39,C39),"")</f>
        <v>337.93699229893684</v>
      </c>
      <c r="G39" s="4">
        <f>IF(A39&lt;=Sisendid!$B$6,Sisendid!$B$8,"")</f>
        <v>3.99</v>
      </c>
      <c r="H39" s="4">
        <f>IF(A39&lt;=Sisendid!$B$6,E39+F39+G39,"")</f>
        <v>470.08319281412003</v>
      </c>
      <c r="I39" s="4">
        <f>IF(A39&lt;=Sisendid!$B$6,MAX(0,C39-F39),"")</f>
        <v>19128.827642918757</v>
      </c>
      <c r="J39" s="4">
        <f>IF(A39&lt;=Sisendid!$B$6,J38+E39,"")</f>
        <v>5908.1825842270691</v>
      </c>
    </row>
    <row r="40" spans="1:10" x14ac:dyDescent="0.3">
      <c r="A40" s="8">
        <v>37</v>
      </c>
      <c r="B40" s="7">
        <f>IF(A40&lt;=Sisendid!$B$6,EDATE($B$4,A40-1),"")</f>
        <v>47241</v>
      </c>
      <c r="C40" s="4">
        <f>IF(A40&lt;=Sisendid!$B$6,I39,"")</f>
        <v>19128.827642918757</v>
      </c>
      <c r="D40" s="4">
        <f>IF(A40&lt;=Sisendid!$B$6,Sisendid!$B$15,"")</f>
        <v>466.09319281411996</v>
      </c>
      <c r="E40" s="4">
        <f>IF(A40&lt;=Sisendid!$B$6,C40*(Sisendid!$B$5/12),"")</f>
        <v>125.93144864921516</v>
      </c>
      <c r="F40" s="4">
        <f>IF(A40&lt;=Sisendid!$B$6,MIN(D40-E40,C40),"")</f>
        <v>340.1617441649048</v>
      </c>
      <c r="G40" s="4">
        <f>IF(A40&lt;=Sisendid!$B$6,Sisendid!$B$8,"")</f>
        <v>3.99</v>
      </c>
      <c r="H40" s="4">
        <f>IF(A40&lt;=Sisendid!$B$6,E40+F40+G40,"")</f>
        <v>470.08319281411997</v>
      </c>
      <c r="I40" s="4">
        <f>IF(A40&lt;=Sisendid!$B$6,MAX(0,C40-F40),"")</f>
        <v>18788.665898753854</v>
      </c>
      <c r="J40" s="4">
        <f>IF(A40&lt;=Sisendid!$B$6,J39+E40,"")</f>
        <v>6034.114032876284</v>
      </c>
    </row>
    <row r="41" spans="1:10" x14ac:dyDescent="0.3">
      <c r="A41" s="8">
        <v>38</v>
      </c>
      <c r="B41" s="7">
        <f>IF(A41&lt;=Sisendid!$B$6,EDATE($B$4,A41-1),"")</f>
        <v>47272</v>
      </c>
      <c r="C41" s="4">
        <f>IF(A41&lt;=Sisendid!$B$6,I40,"")</f>
        <v>18788.665898753854</v>
      </c>
      <c r="D41" s="4">
        <f>IF(A41&lt;=Sisendid!$B$6,Sisendid!$B$15,"")</f>
        <v>466.09319281411996</v>
      </c>
      <c r="E41" s="4">
        <f>IF(A41&lt;=Sisendid!$B$6,C41*(Sisendid!$B$5/12),"")</f>
        <v>123.69205050012954</v>
      </c>
      <c r="F41" s="4">
        <f>IF(A41&lt;=Sisendid!$B$6,MIN(D41-E41,C41),"")</f>
        <v>342.40114231399042</v>
      </c>
      <c r="G41" s="4">
        <f>IF(A41&lt;=Sisendid!$B$6,Sisendid!$B$8,"")</f>
        <v>3.99</v>
      </c>
      <c r="H41" s="4">
        <f>IF(A41&lt;=Sisendid!$B$6,E41+F41+G41,"")</f>
        <v>470.08319281411997</v>
      </c>
      <c r="I41" s="4">
        <f>IF(A41&lt;=Sisendid!$B$6,MAX(0,C41-F41),"")</f>
        <v>18446.264756439865</v>
      </c>
      <c r="J41" s="4">
        <f>IF(A41&lt;=Sisendid!$B$6,J40+E41,"")</f>
        <v>6157.8060833764139</v>
      </c>
    </row>
    <row r="42" spans="1:10" x14ac:dyDescent="0.3">
      <c r="A42" s="8">
        <v>39</v>
      </c>
      <c r="B42" s="7">
        <f>IF(A42&lt;=Sisendid!$B$6,EDATE($B$4,A42-1),"")</f>
        <v>47302</v>
      </c>
      <c r="C42" s="4">
        <f>IF(A42&lt;=Sisendid!$B$6,I41,"")</f>
        <v>18446.264756439865</v>
      </c>
      <c r="D42" s="4">
        <f>IF(A42&lt;=Sisendid!$B$6,Sisendid!$B$15,"")</f>
        <v>466.09319281411996</v>
      </c>
      <c r="E42" s="4">
        <f>IF(A42&lt;=Sisendid!$B$6,C42*(Sisendid!$B$5/12),"")</f>
        <v>121.43790964656245</v>
      </c>
      <c r="F42" s="4">
        <f>IF(A42&lt;=Sisendid!$B$6,MIN(D42-E42,C42),"")</f>
        <v>344.65528316755751</v>
      </c>
      <c r="G42" s="4">
        <f>IF(A42&lt;=Sisendid!$B$6,Sisendid!$B$8,"")</f>
        <v>3.99</v>
      </c>
      <c r="H42" s="4">
        <f>IF(A42&lt;=Sisendid!$B$6,E42+F42+G42,"")</f>
        <v>470.08319281411997</v>
      </c>
      <c r="I42" s="4">
        <f>IF(A42&lt;=Sisendid!$B$6,MAX(0,C42-F42),"")</f>
        <v>18101.609473272307</v>
      </c>
      <c r="J42" s="4">
        <f>IF(A42&lt;=Sisendid!$B$6,J41+E42,"")</f>
        <v>6279.2439930229766</v>
      </c>
    </row>
    <row r="43" spans="1:10" x14ac:dyDescent="0.3">
      <c r="A43" s="8">
        <v>40</v>
      </c>
      <c r="B43" s="7">
        <f>IF(A43&lt;=Sisendid!$B$6,EDATE($B$4,A43-1),"")</f>
        <v>47333</v>
      </c>
      <c r="C43" s="4">
        <f>IF(A43&lt;=Sisendid!$B$6,I42,"")</f>
        <v>18101.609473272307</v>
      </c>
      <c r="D43" s="4">
        <f>IF(A43&lt;=Sisendid!$B$6,Sisendid!$B$15,"")</f>
        <v>466.09319281411996</v>
      </c>
      <c r="E43" s="4">
        <f>IF(A43&lt;=Sisendid!$B$6,C43*(Sisendid!$B$5/12),"")</f>
        <v>119.16892903237603</v>
      </c>
      <c r="F43" s="4">
        <f>IF(A43&lt;=Sisendid!$B$6,MIN(D43-E43,C43),"")</f>
        <v>346.92426378174395</v>
      </c>
      <c r="G43" s="4">
        <f>IF(A43&lt;=Sisendid!$B$6,Sisendid!$B$8,"")</f>
        <v>3.99</v>
      </c>
      <c r="H43" s="4">
        <f>IF(A43&lt;=Sisendid!$B$6,E43+F43+G43,"")</f>
        <v>470.08319281411997</v>
      </c>
      <c r="I43" s="4">
        <f>IF(A43&lt;=Sisendid!$B$6,MAX(0,C43-F43),"")</f>
        <v>17754.685209490563</v>
      </c>
      <c r="J43" s="4">
        <f>IF(A43&lt;=Sisendid!$B$6,J42+E43,"")</f>
        <v>6398.4129220553523</v>
      </c>
    </row>
    <row r="44" spans="1:10" x14ac:dyDescent="0.3">
      <c r="A44" s="8">
        <v>41</v>
      </c>
      <c r="B44" s="7">
        <f>IF(A44&lt;=Sisendid!$B$6,EDATE($B$4,A44-1),"")</f>
        <v>47364</v>
      </c>
      <c r="C44" s="4">
        <f>IF(A44&lt;=Sisendid!$B$6,I43,"")</f>
        <v>17754.685209490563</v>
      </c>
      <c r="D44" s="4">
        <f>IF(A44&lt;=Sisendid!$B$6,Sisendid!$B$15,"")</f>
        <v>466.09319281411996</v>
      </c>
      <c r="E44" s="4">
        <f>IF(A44&lt;=Sisendid!$B$6,C44*(Sisendid!$B$5/12),"")</f>
        <v>116.88501096247954</v>
      </c>
      <c r="F44" s="4">
        <f>IF(A44&lt;=Sisendid!$B$6,MIN(D44-E44,C44),"")</f>
        <v>349.2081818516404</v>
      </c>
      <c r="G44" s="4">
        <f>IF(A44&lt;=Sisendid!$B$6,Sisendid!$B$8,"")</f>
        <v>3.99</v>
      </c>
      <c r="H44" s="4">
        <f>IF(A44&lt;=Sisendid!$B$6,E44+F44+G44,"")</f>
        <v>470.08319281411997</v>
      </c>
      <c r="I44" s="4">
        <f>IF(A44&lt;=Sisendid!$B$6,MAX(0,C44-F44),"")</f>
        <v>17405.477027638921</v>
      </c>
      <c r="J44" s="4">
        <f>IF(A44&lt;=Sisendid!$B$6,J43+E44,"")</f>
        <v>6515.2979330178314</v>
      </c>
    </row>
    <row r="45" spans="1:10" x14ac:dyDescent="0.3">
      <c r="A45" s="8">
        <v>42</v>
      </c>
      <c r="B45" s="7">
        <f>IF(A45&lt;=Sisendid!$B$6,EDATE($B$4,A45-1),"")</f>
        <v>47394</v>
      </c>
      <c r="C45" s="4">
        <f>IF(A45&lt;=Sisendid!$B$6,I44,"")</f>
        <v>17405.477027638921</v>
      </c>
      <c r="D45" s="4">
        <f>IF(A45&lt;=Sisendid!$B$6,Sisendid!$B$15,"")</f>
        <v>466.09319281411996</v>
      </c>
      <c r="E45" s="4">
        <f>IF(A45&lt;=Sisendid!$B$6,C45*(Sisendid!$B$5/12),"")</f>
        <v>114.5860570986229</v>
      </c>
      <c r="F45" s="4">
        <f>IF(A45&lt;=Sisendid!$B$6,MIN(D45-E45,C45),"")</f>
        <v>351.50713571549704</v>
      </c>
      <c r="G45" s="4">
        <f>IF(A45&lt;=Sisendid!$B$6,Sisendid!$B$8,"")</f>
        <v>3.99</v>
      </c>
      <c r="H45" s="4">
        <f>IF(A45&lt;=Sisendid!$B$6,E45+F45+G45,"")</f>
        <v>470.08319281411997</v>
      </c>
      <c r="I45" s="4">
        <f>IF(A45&lt;=Sisendid!$B$6,MAX(0,C45-F45),"")</f>
        <v>17053.969891923425</v>
      </c>
      <c r="J45" s="4">
        <f>IF(A45&lt;=Sisendid!$B$6,J44+E45,"")</f>
        <v>6629.8839901164547</v>
      </c>
    </row>
    <row r="46" spans="1:10" x14ac:dyDescent="0.3">
      <c r="A46" s="8">
        <v>43</v>
      </c>
      <c r="B46" s="7">
        <f>IF(A46&lt;=Sisendid!$B$6,EDATE($B$4,A46-1),"")</f>
        <v>47425</v>
      </c>
      <c r="C46" s="4">
        <f>IF(A46&lt;=Sisendid!$B$6,I45,"")</f>
        <v>17053.969891923425</v>
      </c>
      <c r="D46" s="4">
        <f>IF(A46&lt;=Sisendid!$B$6,Sisendid!$B$15,"")</f>
        <v>466.09319281411996</v>
      </c>
      <c r="E46" s="4">
        <f>IF(A46&lt;=Sisendid!$B$6,C46*(Sisendid!$B$5/12),"")</f>
        <v>112.27196845516255</v>
      </c>
      <c r="F46" s="4">
        <f>IF(A46&lt;=Sisendid!$B$6,MIN(D46-E46,C46),"")</f>
        <v>353.82122435895741</v>
      </c>
      <c r="G46" s="4">
        <f>IF(A46&lt;=Sisendid!$B$6,Sisendid!$B$8,"")</f>
        <v>3.99</v>
      </c>
      <c r="H46" s="4">
        <f>IF(A46&lt;=Sisendid!$B$6,E46+F46+G46,"")</f>
        <v>470.08319281411997</v>
      </c>
      <c r="I46" s="4">
        <f>IF(A46&lt;=Sisendid!$B$6,MAX(0,C46-F46),"")</f>
        <v>16700.148667564466</v>
      </c>
      <c r="J46" s="4">
        <f>IF(A46&lt;=Sisendid!$B$6,J45+E46,"")</f>
        <v>6742.1559585716168</v>
      </c>
    </row>
    <row r="47" spans="1:10" x14ac:dyDescent="0.3">
      <c r="A47" s="8">
        <v>44</v>
      </c>
      <c r="B47" s="7">
        <f>IF(A47&lt;=Sisendid!$B$6,EDATE($B$4,A47-1),"")</f>
        <v>47455</v>
      </c>
      <c r="C47" s="4">
        <f>IF(A47&lt;=Sisendid!$B$6,I46,"")</f>
        <v>16700.148667564466</v>
      </c>
      <c r="D47" s="4">
        <f>IF(A47&lt;=Sisendid!$B$6,Sisendid!$B$15,"")</f>
        <v>466.09319281411996</v>
      </c>
      <c r="E47" s="4">
        <f>IF(A47&lt;=Sisendid!$B$6,C47*(Sisendid!$B$5/12),"")</f>
        <v>109.9426453947994</v>
      </c>
      <c r="F47" s="4">
        <f>IF(A47&lt;=Sisendid!$B$6,MIN(D47-E47,C47),"")</f>
        <v>356.15054741932056</v>
      </c>
      <c r="G47" s="4">
        <f>IF(A47&lt;=Sisendid!$B$6,Sisendid!$B$8,"")</f>
        <v>3.99</v>
      </c>
      <c r="H47" s="4">
        <f>IF(A47&lt;=Sisendid!$B$6,E47+F47+G47,"")</f>
        <v>470.08319281411997</v>
      </c>
      <c r="I47" s="4">
        <f>IF(A47&lt;=Sisendid!$B$6,MAX(0,C47-F47),"")</f>
        <v>16343.998120145146</v>
      </c>
      <c r="J47" s="4">
        <f>IF(A47&lt;=Sisendid!$B$6,J46+E47,"")</f>
        <v>6852.0986039664158</v>
      </c>
    </row>
    <row r="48" spans="1:10" x14ac:dyDescent="0.3">
      <c r="A48" s="8">
        <v>45</v>
      </c>
      <c r="B48" s="7">
        <f>IF(A48&lt;=Sisendid!$B$6,EDATE($B$4,A48-1),"")</f>
        <v>47486</v>
      </c>
      <c r="C48" s="4">
        <f>IF(A48&lt;=Sisendid!$B$6,I47,"")</f>
        <v>16343.998120145146</v>
      </c>
      <c r="D48" s="4">
        <f>IF(A48&lt;=Sisendid!$B$6,Sisendid!$B$15,"")</f>
        <v>466.09319281411996</v>
      </c>
      <c r="E48" s="4">
        <f>IF(A48&lt;=Sisendid!$B$6,C48*(Sisendid!$B$5/12),"")</f>
        <v>107.59798762428888</v>
      </c>
      <c r="F48" s="4">
        <f>IF(A48&lt;=Sisendid!$B$6,MIN(D48-E48,C48),"")</f>
        <v>358.4952051898311</v>
      </c>
      <c r="G48" s="4">
        <f>IF(A48&lt;=Sisendid!$B$6,Sisendid!$B$8,"")</f>
        <v>3.99</v>
      </c>
      <c r="H48" s="4">
        <f>IF(A48&lt;=Sisendid!$B$6,E48+F48+G48,"")</f>
        <v>470.08319281411997</v>
      </c>
      <c r="I48" s="4">
        <f>IF(A48&lt;=Sisendid!$B$6,MAX(0,C48-F48),"")</f>
        <v>15985.502914955316</v>
      </c>
      <c r="J48" s="4">
        <f>IF(A48&lt;=Sisendid!$B$6,J47+E48,"")</f>
        <v>6959.6965915907049</v>
      </c>
    </row>
    <row r="49" spans="1:10" x14ac:dyDescent="0.3">
      <c r="A49" s="8">
        <v>46</v>
      </c>
      <c r="B49" s="7">
        <f>IF(A49&lt;=Sisendid!$B$6,EDATE($B$4,A49-1),"")</f>
        <v>47517</v>
      </c>
      <c r="C49" s="4">
        <f>IF(A49&lt;=Sisendid!$B$6,I48,"")</f>
        <v>15985.502914955316</v>
      </c>
      <c r="D49" s="4">
        <f>IF(A49&lt;=Sisendid!$B$6,Sisendid!$B$15,"")</f>
        <v>466.09319281411996</v>
      </c>
      <c r="E49" s="4">
        <f>IF(A49&lt;=Sisendid!$B$6,C49*(Sisendid!$B$5/12),"")</f>
        <v>105.23789419012249</v>
      </c>
      <c r="F49" s="4">
        <f>IF(A49&lt;=Sisendid!$B$6,MIN(D49-E49,C49),"")</f>
        <v>360.85529862399744</v>
      </c>
      <c r="G49" s="4">
        <f>IF(A49&lt;=Sisendid!$B$6,Sisendid!$B$8,"")</f>
        <v>3.99</v>
      </c>
      <c r="H49" s="4">
        <f>IF(A49&lt;=Sisendid!$B$6,E49+F49+G49,"")</f>
        <v>470.08319281411991</v>
      </c>
      <c r="I49" s="4">
        <f>IF(A49&lt;=Sisendid!$B$6,MAX(0,C49-F49),"")</f>
        <v>15624.647616331318</v>
      </c>
      <c r="J49" s="4">
        <f>IF(A49&lt;=Sisendid!$B$6,J48+E49,"")</f>
        <v>7064.9344857808273</v>
      </c>
    </row>
    <row r="50" spans="1:10" x14ac:dyDescent="0.3">
      <c r="A50" s="8">
        <v>47</v>
      </c>
      <c r="B50" s="7">
        <f>IF(A50&lt;=Sisendid!$B$6,EDATE($B$4,A50-1),"")</f>
        <v>47545</v>
      </c>
      <c r="C50" s="4">
        <f>IF(A50&lt;=Sisendid!$B$6,I49,"")</f>
        <v>15624.647616331318</v>
      </c>
      <c r="D50" s="4">
        <f>IF(A50&lt;=Sisendid!$B$6,Sisendid!$B$15,"")</f>
        <v>466.09319281411996</v>
      </c>
      <c r="E50" s="4">
        <f>IF(A50&lt;=Sisendid!$B$6,C50*(Sisendid!$B$5/12),"")</f>
        <v>102.86226347418118</v>
      </c>
      <c r="F50" s="4">
        <f>IF(A50&lt;=Sisendid!$B$6,MIN(D50-E50,C50),"")</f>
        <v>363.23092933993877</v>
      </c>
      <c r="G50" s="4">
        <f>IF(A50&lt;=Sisendid!$B$6,Sisendid!$B$8,"")</f>
        <v>3.99</v>
      </c>
      <c r="H50" s="4">
        <f>IF(A50&lt;=Sisendid!$B$6,E50+F50+G50,"")</f>
        <v>470.08319281411997</v>
      </c>
      <c r="I50" s="4">
        <f>IF(A50&lt;=Sisendid!$B$6,MAX(0,C50-F50),"")</f>
        <v>15261.416686991379</v>
      </c>
      <c r="J50" s="4">
        <f>IF(A50&lt;=Sisendid!$B$6,J49+E50,"")</f>
        <v>7167.7967492550088</v>
      </c>
    </row>
    <row r="51" spans="1:10" x14ac:dyDescent="0.3">
      <c r="A51" s="8">
        <v>48</v>
      </c>
      <c r="B51" s="7">
        <f>IF(A51&lt;=Sisendid!$B$6,EDATE($B$4,A51-1),"")</f>
        <v>47576</v>
      </c>
      <c r="C51" s="4">
        <f>IF(A51&lt;=Sisendid!$B$6,I50,"")</f>
        <v>15261.416686991379</v>
      </c>
      <c r="D51" s="4">
        <f>IF(A51&lt;=Sisendid!$B$6,Sisendid!$B$15,"")</f>
        <v>466.09319281411996</v>
      </c>
      <c r="E51" s="4">
        <f>IF(A51&lt;=Sisendid!$B$6,C51*(Sisendid!$B$5/12),"")</f>
        <v>100.47099318935992</v>
      </c>
      <c r="F51" s="4">
        <f>IF(A51&lt;=Sisendid!$B$6,MIN(D51-E51,C51),"")</f>
        <v>365.62219962476001</v>
      </c>
      <c r="G51" s="4">
        <f>IF(A51&lt;=Sisendid!$B$6,Sisendid!$B$8,"")</f>
        <v>3.99</v>
      </c>
      <c r="H51" s="4">
        <f>IF(A51&lt;=Sisendid!$B$6,E51+F51+G51,"")</f>
        <v>470.08319281411991</v>
      </c>
      <c r="I51" s="4">
        <f>IF(A51&lt;=Sisendid!$B$6,MAX(0,C51-F51),"")</f>
        <v>14895.794487366618</v>
      </c>
      <c r="J51" s="4">
        <f>IF(A51&lt;=Sisendid!$B$6,J50+E51,"")</f>
        <v>7268.2677424443691</v>
      </c>
    </row>
    <row r="52" spans="1:10" x14ac:dyDescent="0.3">
      <c r="A52" s="8">
        <v>49</v>
      </c>
      <c r="B52" s="7">
        <f>IF(A52&lt;=Sisendid!$B$6,EDATE($B$4,A52-1),"")</f>
        <v>47606</v>
      </c>
      <c r="C52" s="4">
        <f>IF(A52&lt;=Sisendid!$B$6,I51,"")</f>
        <v>14895.794487366618</v>
      </c>
      <c r="D52" s="4">
        <f>IF(A52&lt;=Sisendid!$B$6,Sisendid!$B$15,"")</f>
        <v>466.09319281411996</v>
      </c>
      <c r="E52" s="4">
        <f>IF(A52&lt;=Sisendid!$B$6,C52*(Sisendid!$B$5/12),"")</f>
        <v>98.063980375163567</v>
      </c>
      <c r="F52" s="4">
        <f>IF(A52&lt;=Sisendid!$B$6,MIN(D52-E52,C52),"")</f>
        <v>368.02921243895639</v>
      </c>
      <c r="G52" s="4">
        <f>IF(A52&lt;=Sisendid!$B$6,Sisendid!$B$8,"")</f>
        <v>3.99</v>
      </c>
      <c r="H52" s="4">
        <f>IF(A52&lt;=Sisendid!$B$6,E52+F52+G52,"")</f>
        <v>470.08319281411997</v>
      </c>
      <c r="I52" s="4">
        <f>IF(A52&lt;=Sisendid!$B$6,MAX(0,C52-F52),"")</f>
        <v>14527.765274927662</v>
      </c>
      <c r="J52" s="4">
        <f>IF(A52&lt;=Sisendid!$B$6,J51+E52,"")</f>
        <v>7366.3317228195328</v>
      </c>
    </row>
    <row r="53" spans="1:10" x14ac:dyDescent="0.3">
      <c r="A53" s="8">
        <v>50</v>
      </c>
      <c r="B53" s="7">
        <f>IF(A53&lt;=Sisendid!$B$6,EDATE($B$4,A53-1),"")</f>
        <v>47637</v>
      </c>
      <c r="C53" s="4">
        <f>IF(A53&lt;=Sisendid!$B$6,I52,"")</f>
        <v>14527.765274927662</v>
      </c>
      <c r="D53" s="4">
        <f>IF(A53&lt;=Sisendid!$B$6,Sisendid!$B$15,"")</f>
        <v>466.09319281411996</v>
      </c>
      <c r="E53" s="4">
        <f>IF(A53&lt;=Sisendid!$B$6,C53*(Sisendid!$B$5/12),"")</f>
        <v>95.641121393273778</v>
      </c>
      <c r="F53" s="4">
        <f>IF(A53&lt;=Sisendid!$B$6,MIN(D53-E53,C53),"")</f>
        <v>370.45207142084621</v>
      </c>
      <c r="G53" s="4">
        <f>IF(A53&lt;=Sisendid!$B$6,Sisendid!$B$8,"")</f>
        <v>3.99</v>
      </c>
      <c r="H53" s="4">
        <f>IF(A53&lt;=Sisendid!$B$6,E53+F53+G53,"")</f>
        <v>470.08319281412003</v>
      </c>
      <c r="I53" s="4">
        <f>IF(A53&lt;=Sisendid!$B$6,MAX(0,C53-F53),"")</f>
        <v>14157.313203506816</v>
      </c>
      <c r="J53" s="4">
        <f>IF(A53&lt;=Sisendid!$B$6,J52+E53,"")</f>
        <v>7461.9728442128062</v>
      </c>
    </row>
    <row r="54" spans="1:10" x14ac:dyDescent="0.3">
      <c r="A54" s="8">
        <v>51</v>
      </c>
      <c r="B54" s="7">
        <f>IF(A54&lt;=Sisendid!$B$6,EDATE($B$4,A54-1),"")</f>
        <v>47667</v>
      </c>
      <c r="C54" s="4">
        <f>IF(A54&lt;=Sisendid!$B$6,I53,"")</f>
        <v>14157.313203506816</v>
      </c>
      <c r="D54" s="4">
        <f>IF(A54&lt;=Sisendid!$B$6,Sisendid!$B$15,"")</f>
        <v>466.09319281411996</v>
      </c>
      <c r="E54" s="4">
        <f>IF(A54&lt;=Sisendid!$B$6,C54*(Sisendid!$B$5/12),"")</f>
        <v>93.20231192308654</v>
      </c>
      <c r="F54" s="4">
        <f>IF(A54&lt;=Sisendid!$B$6,MIN(D54-E54,C54),"")</f>
        <v>372.89088089103342</v>
      </c>
      <c r="G54" s="4">
        <f>IF(A54&lt;=Sisendid!$B$6,Sisendid!$B$8,"")</f>
        <v>3.99</v>
      </c>
      <c r="H54" s="4">
        <f>IF(A54&lt;=Sisendid!$B$6,E54+F54+G54,"")</f>
        <v>470.08319281411997</v>
      </c>
      <c r="I54" s="4">
        <f>IF(A54&lt;=Sisendid!$B$6,MAX(0,C54-F54),"")</f>
        <v>13784.422322615783</v>
      </c>
      <c r="J54" s="4">
        <f>IF(A54&lt;=Sisendid!$B$6,J53+E54,"")</f>
        <v>7555.1751561358924</v>
      </c>
    </row>
    <row r="55" spans="1:10" x14ac:dyDescent="0.3">
      <c r="A55" s="8">
        <v>52</v>
      </c>
      <c r="B55" s="7">
        <f>IF(A55&lt;=Sisendid!$B$6,EDATE($B$4,A55-1),"")</f>
        <v>47698</v>
      </c>
      <c r="C55" s="4">
        <f>IF(A55&lt;=Sisendid!$B$6,I54,"")</f>
        <v>13784.422322615783</v>
      </c>
      <c r="D55" s="4">
        <f>IF(A55&lt;=Sisendid!$B$6,Sisendid!$B$15,"")</f>
        <v>466.09319281411996</v>
      </c>
      <c r="E55" s="4">
        <f>IF(A55&lt;=Sisendid!$B$6,C55*(Sisendid!$B$5/12),"")</f>
        <v>90.747446957220575</v>
      </c>
      <c r="F55" s="4">
        <f>IF(A55&lt;=Sisendid!$B$6,MIN(D55-E55,C55),"")</f>
        <v>375.34574585689938</v>
      </c>
      <c r="G55" s="4">
        <f>IF(A55&lt;=Sisendid!$B$6,Sisendid!$B$8,"")</f>
        <v>3.99</v>
      </c>
      <c r="H55" s="4">
        <f>IF(A55&lt;=Sisendid!$B$6,E55+F55+G55,"")</f>
        <v>470.08319281411997</v>
      </c>
      <c r="I55" s="4">
        <f>IF(A55&lt;=Sisendid!$B$6,MAX(0,C55-F55),"")</f>
        <v>13409.076576758884</v>
      </c>
      <c r="J55" s="4">
        <f>IF(A55&lt;=Sisendid!$B$6,J54+E55,"")</f>
        <v>7645.9226030931131</v>
      </c>
    </row>
    <row r="56" spans="1:10" x14ac:dyDescent="0.3">
      <c r="A56" s="8">
        <v>53</v>
      </c>
      <c r="B56" s="7">
        <f>IF(A56&lt;=Sisendid!$B$6,EDATE($B$4,A56-1),"")</f>
        <v>47729</v>
      </c>
      <c r="C56" s="4">
        <f>IF(A56&lt;=Sisendid!$B$6,I55,"")</f>
        <v>13409.076576758884</v>
      </c>
      <c r="D56" s="4">
        <f>IF(A56&lt;=Sisendid!$B$6,Sisendid!$B$15,"")</f>
        <v>466.09319281411996</v>
      </c>
      <c r="E56" s="4">
        <f>IF(A56&lt;=Sisendid!$B$6,C56*(Sisendid!$B$5/12),"")</f>
        <v>88.276420796995978</v>
      </c>
      <c r="F56" s="4">
        <f>IF(A56&lt;=Sisendid!$B$6,MIN(D56-E56,C56),"")</f>
        <v>377.81677201712398</v>
      </c>
      <c r="G56" s="4">
        <f>IF(A56&lt;=Sisendid!$B$6,Sisendid!$B$8,"")</f>
        <v>3.99</v>
      </c>
      <c r="H56" s="4">
        <f>IF(A56&lt;=Sisendid!$B$6,E56+F56+G56,"")</f>
        <v>470.08319281411997</v>
      </c>
      <c r="I56" s="4">
        <f>IF(A56&lt;=Sisendid!$B$6,MAX(0,C56-F56),"")</f>
        <v>13031.25980474176</v>
      </c>
      <c r="J56" s="4">
        <f>IF(A56&lt;=Sisendid!$B$6,J55+E56,"")</f>
        <v>7734.1990238901089</v>
      </c>
    </row>
    <row r="57" spans="1:10" x14ac:dyDescent="0.3">
      <c r="A57" s="8">
        <v>54</v>
      </c>
      <c r="B57" s="7">
        <f>IF(A57&lt;=Sisendid!$B$6,EDATE($B$4,A57-1),"")</f>
        <v>47759</v>
      </c>
      <c r="C57" s="4">
        <f>IF(A57&lt;=Sisendid!$B$6,I56,"")</f>
        <v>13031.25980474176</v>
      </c>
      <c r="D57" s="4">
        <f>IF(A57&lt;=Sisendid!$B$6,Sisendid!$B$15,"")</f>
        <v>466.09319281411996</v>
      </c>
      <c r="E57" s="4">
        <f>IF(A57&lt;=Sisendid!$B$6,C57*(Sisendid!$B$5/12),"")</f>
        <v>85.789127047883255</v>
      </c>
      <c r="F57" s="4">
        <f>IF(A57&lt;=Sisendid!$B$6,MIN(D57-E57,C57),"")</f>
        <v>380.3040657662367</v>
      </c>
      <c r="G57" s="4">
        <f>IF(A57&lt;=Sisendid!$B$6,Sisendid!$B$8,"")</f>
        <v>3.99</v>
      </c>
      <c r="H57" s="4">
        <f>IF(A57&lt;=Sisendid!$B$6,E57+F57+G57,"")</f>
        <v>470.08319281411997</v>
      </c>
      <c r="I57" s="4">
        <f>IF(A57&lt;=Sisendid!$B$6,MAX(0,C57-F57),"")</f>
        <v>12650.955738975523</v>
      </c>
      <c r="J57" s="4">
        <f>IF(A57&lt;=Sisendid!$B$6,J56+E57,"")</f>
        <v>7819.988150937992</v>
      </c>
    </row>
    <row r="58" spans="1:10" x14ac:dyDescent="0.3">
      <c r="A58" s="8">
        <v>55</v>
      </c>
      <c r="B58" s="7">
        <f>IF(A58&lt;=Sisendid!$B$6,EDATE($B$4,A58-1),"")</f>
        <v>47790</v>
      </c>
      <c r="C58" s="4">
        <f>IF(A58&lt;=Sisendid!$B$6,I57,"")</f>
        <v>12650.955738975523</v>
      </c>
      <c r="D58" s="4">
        <f>IF(A58&lt;=Sisendid!$B$6,Sisendid!$B$15,"")</f>
        <v>466.09319281411996</v>
      </c>
      <c r="E58" s="4">
        <f>IF(A58&lt;=Sisendid!$B$6,C58*(Sisendid!$B$5/12),"")</f>
        <v>83.285458614922192</v>
      </c>
      <c r="F58" s="4">
        <f>IF(A58&lt;=Sisendid!$B$6,MIN(D58-E58,C58),"")</f>
        <v>382.80773419919774</v>
      </c>
      <c r="G58" s="4">
        <f>IF(A58&lt;=Sisendid!$B$6,Sisendid!$B$8,"")</f>
        <v>3.99</v>
      </c>
      <c r="H58" s="4">
        <f>IF(A58&lt;=Sisendid!$B$6,E58+F58+G58,"")</f>
        <v>470.08319281411991</v>
      </c>
      <c r="I58" s="4">
        <f>IF(A58&lt;=Sisendid!$B$6,MAX(0,C58-F58),"")</f>
        <v>12268.148004776325</v>
      </c>
      <c r="J58" s="4">
        <f>IF(A58&lt;=Sisendid!$B$6,J57+E58,"")</f>
        <v>7903.2736095529144</v>
      </c>
    </row>
    <row r="59" spans="1:10" x14ac:dyDescent="0.3">
      <c r="A59" s="8">
        <v>56</v>
      </c>
      <c r="B59" s="7">
        <f>IF(A59&lt;=Sisendid!$B$6,EDATE($B$4,A59-1),"")</f>
        <v>47820</v>
      </c>
      <c r="C59" s="4">
        <f>IF(A59&lt;=Sisendid!$B$6,I58,"")</f>
        <v>12268.148004776325</v>
      </c>
      <c r="D59" s="4">
        <f>IF(A59&lt;=Sisendid!$B$6,Sisendid!$B$15,"")</f>
        <v>466.09319281411996</v>
      </c>
      <c r="E59" s="4">
        <f>IF(A59&lt;=Sisendid!$B$6,C59*(Sisendid!$B$5/12),"")</f>
        <v>80.765307698110803</v>
      </c>
      <c r="F59" s="4">
        <f>IF(A59&lt;=Sisendid!$B$6,MIN(D59-E59,C59),"")</f>
        <v>385.32788511600916</v>
      </c>
      <c r="G59" s="4">
        <f>IF(A59&lt;=Sisendid!$B$6,Sisendid!$B$8,"")</f>
        <v>3.99</v>
      </c>
      <c r="H59" s="4">
        <f>IF(A59&lt;=Sisendid!$B$6,E59+F59+G59,"")</f>
        <v>470.08319281411997</v>
      </c>
      <c r="I59" s="4">
        <f>IF(A59&lt;=Sisendid!$B$6,MAX(0,C59-F59),"")</f>
        <v>11882.820119660317</v>
      </c>
      <c r="J59" s="4">
        <f>IF(A59&lt;=Sisendid!$B$6,J58+E59,"")</f>
        <v>7984.0389172510249</v>
      </c>
    </row>
    <row r="60" spans="1:10" x14ac:dyDescent="0.3">
      <c r="A60" s="8">
        <v>57</v>
      </c>
      <c r="B60" s="7">
        <f>IF(A60&lt;=Sisendid!$B$6,EDATE($B$4,A60-1),"")</f>
        <v>47851</v>
      </c>
      <c r="C60" s="4">
        <f>IF(A60&lt;=Sisendid!$B$6,I59,"")</f>
        <v>11882.820119660317</v>
      </c>
      <c r="D60" s="4">
        <f>IF(A60&lt;=Sisendid!$B$6,Sisendid!$B$15,"")</f>
        <v>466.09319281411996</v>
      </c>
      <c r="E60" s="4">
        <f>IF(A60&lt;=Sisendid!$B$6,C60*(Sisendid!$B$5/12),"")</f>
        <v>78.228565787763756</v>
      </c>
      <c r="F60" s="4">
        <f>IF(A60&lt;=Sisendid!$B$6,MIN(D60-E60,C60),"")</f>
        <v>387.86462702635617</v>
      </c>
      <c r="G60" s="4">
        <f>IF(A60&lt;=Sisendid!$B$6,Sisendid!$B$8,"")</f>
        <v>3.99</v>
      </c>
      <c r="H60" s="4">
        <f>IF(A60&lt;=Sisendid!$B$6,E60+F60+G60,"")</f>
        <v>470.08319281411991</v>
      </c>
      <c r="I60" s="4">
        <f>IF(A60&lt;=Sisendid!$B$6,MAX(0,C60-F60),"")</f>
        <v>11494.955492633961</v>
      </c>
      <c r="J60" s="4">
        <f>IF(A60&lt;=Sisendid!$B$6,J59+E60,"")</f>
        <v>8062.2674830387887</v>
      </c>
    </row>
    <row r="61" spans="1:10" x14ac:dyDescent="0.3">
      <c r="A61" s="8">
        <v>58</v>
      </c>
      <c r="B61" s="7">
        <f>IF(A61&lt;=Sisendid!$B$6,EDATE($B$4,A61-1),"")</f>
        <v>47882</v>
      </c>
      <c r="C61" s="4">
        <f>IF(A61&lt;=Sisendid!$B$6,I60,"")</f>
        <v>11494.955492633961</v>
      </c>
      <c r="D61" s="4">
        <f>IF(A61&lt;=Sisendid!$B$6,Sisendid!$B$15,"")</f>
        <v>466.09319281411996</v>
      </c>
      <c r="E61" s="4">
        <f>IF(A61&lt;=Sisendid!$B$6,C61*(Sisendid!$B$5/12),"")</f>
        <v>75.675123659840239</v>
      </c>
      <c r="F61" s="4">
        <f>IF(A61&lt;=Sisendid!$B$6,MIN(D61-E61,C61),"")</f>
        <v>390.41806915427969</v>
      </c>
      <c r="G61" s="4">
        <f>IF(A61&lt;=Sisendid!$B$6,Sisendid!$B$8,"")</f>
        <v>3.99</v>
      </c>
      <c r="H61" s="4">
        <f>IF(A61&lt;=Sisendid!$B$6,E61+F61+G61,"")</f>
        <v>470.08319281411991</v>
      </c>
      <c r="I61" s="4">
        <f>IF(A61&lt;=Sisendid!$B$6,MAX(0,C61-F61),"")</f>
        <v>11104.53742347968</v>
      </c>
      <c r="J61" s="4">
        <f>IF(A61&lt;=Sisendid!$B$6,J60+E61,"")</f>
        <v>8137.9426066986289</v>
      </c>
    </row>
    <row r="62" spans="1:10" x14ac:dyDescent="0.3">
      <c r="A62" s="8">
        <v>59</v>
      </c>
      <c r="B62" s="7">
        <f>IF(A62&lt;=Sisendid!$B$6,EDATE($B$4,A62-1),"")</f>
        <v>47910</v>
      </c>
      <c r="C62" s="4">
        <f>IF(A62&lt;=Sisendid!$B$6,I61,"")</f>
        <v>11104.53742347968</v>
      </c>
      <c r="D62" s="4">
        <f>IF(A62&lt;=Sisendid!$B$6,Sisendid!$B$15,"")</f>
        <v>466.09319281411996</v>
      </c>
      <c r="E62" s="4">
        <f>IF(A62&lt;=Sisendid!$B$6,C62*(Sisendid!$B$5/12),"")</f>
        <v>73.104871371241231</v>
      </c>
      <c r="F62" s="4">
        <f>IF(A62&lt;=Sisendid!$B$6,MIN(D62-E62,C62),"")</f>
        <v>392.98832144287871</v>
      </c>
      <c r="G62" s="4">
        <f>IF(A62&lt;=Sisendid!$B$6,Sisendid!$B$8,"")</f>
        <v>3.99</v>
      </c>
      <c r="H62" s="4">
        <f>IF(A62&lt;=Sisendid!$B$6,E62+F62+G62,"")</f>
        <v>470.08319281411997</v>
      </c>
      <c r="I62" s="4">
        <f>IF(A62&lt;=Sisendid!$B$6,MAX(0,C62-F62),"")</f>
        <v>10711.549102036801</v>
      </c>
      <c r="J62" s="4">
        <f>IF(A62&lt;=Sisendid!$B$6,J61+E62,"")</f>
        <v>8211.0474780698696</v>
      </c>
    </row>
    <row r="63" spans="1:10" x14ac:dyDescent="0.3">
      <c r="A63" s="8">
        <v>60</v>
      </c>
      <c r="B63" s="7">
        <f>IF(A63&lt;=Sisendid!$B$6,EDATE($B$4,A63-1),"")</f>
        <v>47941</v>
      </c>
      <c r="C63" s="4">
        <f>IF(A63&lt;=Sisendid!$B$6,I62,"")</f>
        <v>10711.549102036801</v>
      </c>
      <c r="D63" s="4">
        <f>IF(A63&lt;=Sisendid!$B$6,Sisendid!$B$15,"")</f>
        <v>466.09319281411996</v>
      </c>
      <c r="E63" s="4">
        <f>IF(A63&lt;=Sisendid!$B$6,C63*(Sisendid!$B$5/12),"")</f>
        <v>70.517698255075601</v>
      </c>
      <c r="F63" s="4">
        <f>IF(A63&lt;=Sisendid!$B$6,MIN(D63-E63,C63),"")</f>
        <v>395.57549455904439</v>
      </c>
      <c r="G63" s="4">
        <f>IF(A63&lt;=Sisendid!$B$6,Sisendid!$B$8,"")</f>
        <v>3.99</v>
      </c>
      <c r="H63" s="4">
        <f>IF(A63&lt;=Sisendid!$B$6,E63+F63+G63,"")</f>
        <v>470.08319281412003</v>
      </c>
      <c r="I63" s="4">
        <f>IF(A63&lt;=Sisendid!$B$6,MAX(0,C63-F63),"")</f>
        <v>10315.973607477756</v>
      </c>
      <c r="J63" s="4">
        <f>IF(A63&lt;=Sisendid!$B$6,J62+E63,"")</f>
        <v>8281.5651763249443</v>
      </c>
    </row>
    <row r="64" spans="1:10" x14ac:dyDescent="0.3">
      <c r="A64" s="8">
        <v>61</v>
      </c>
      <c r="B64" s="7">
        <f>IF(A64&lt;=Sisendid!$B$6,EDATE($B$4,A64-1),"")</f>
        <v>47971</v>
      </c>
      <c r="C64" s="4">
        <f>IF(A64&lt;=Sisendid!$B$6,I63,"")</f>
        <v>10315.973607477756</v>
      </c>
      <c r="D64" s="4">
        <f>IF(A64&lt;=Sisendid!$B$6,Sisendid!$B$15,"")</f>
        <v>466.09319281411996</v>
      </c>
      <c r="E64" s="4">
        <f>IF(A64&lt;=Sisendid!$B$6,C64*(Sisendid!$B$5/12),"")</f>
        <v>67.913492915895219</v>
      </c>
      <c r="F64" s="4">
        <f>IF(A64&lt;=Sisendid!$B$6,MIN(D64-E64,C64),"")</f>
        <v>398.17969989822473</v>
      </c>
      <c r="G64" s="4">
        <f>IF(A64&lt;=Sisendid!$B$6,Sisendid!$B$8,"")</f>
        <v>3.99</v>
      </c>
      <c r="H64" s="4">
        <f>IF(A64&lt;=Sisendid!$B$6,E64+F64+G64,"")</f>
        <v>470.08319281411997</v>
      </c>
      <c r="I64" s="4">
        <f>IF(A64&lt;=Sisendid!$B$6,MAX(0,C64-F64),"")</f>
        <v>9917.7939075795312</v>
      </c>
      <c r="J64" s="4">
        <f>IF(A64&lt;=Sisendid!$B$6,J63+E64,"")</f>
        <v>8349.4786692408397</v>
      </c>
    </row>
    <row r="65" spans="1:10" x14ac:dyDescent="0.3">
      <c r="A65" s="8">
        <v>62</v>
      </c>
      <c r="B65" s="7">
        <f>IF(A65&lt;=Sisendid!$B$6,EDATE($B$4,A65-1),"")</f>
        <v>48002</v>
      </c>
      <c r="C65" s="4">
        <f>IF(A65&lt;=Sisendid!$B$6,I64,"")</f>
        <v>9917.7939075795312</v>
      </c>
      <c r="D65" s="4">
        <f>IF(A65&lt;=Sisendid!$B$6,Sisendid!$B$15,"")</f>
        <v>466.09319281411996</v>
      </c>
      <c r="E65" s="4">
        <f>IF(A65&lt;=Sisendid!$B$6,C65*(Sisendid!$B$5/12),"")</f>
        <v>65.292143224898581</v>
      </c>
      <c r="F65" s="4">
        <f>IF(A65&lt;=Sisendid!$B$6,MIN(D65-E65,C65),"")</f>
        <v>400.80104958922141</v>
      </c>
      <c r="G65" s="4">
        <f>IF(A65&lt;=Sisendid!$B$6,Sisendid!$B$8,"")</f>
        <v>3.99</v>
      </c>
      <c r="H65" s="4">
        <f>IF(A65&lt;=Sisendid!$B$6,E65+F65+G65,"")</f>
        <v>470.08319281412003</v>
      </c>
      <c r="I65" s="4">
        <f>IF(A65&lt;=Sisendid!$B$6,MAX(0,C65-F65),"")</f>
        <v>9516.9928579903099</v>
      </c>
      <c r="J65" s="4">
        <f>IF(A65&lt;=Sisendid!$B$6,J64+E65,"")</f>
        <v>8414.7708124657383</v>
      </c>
    </row>
    <row r="66" spans="1:10" x14ac:dyDescent="0.3">
      <c r="A66" s="8">
        <v>63</v>
      </c>
      <c r="B66" s="7">
        <f>IF(A66&lt;=Sisendid!$B$6,EDATE($B$4,A66-1),"")</f>
        <v>48032</v>
      </c>
      <c r="C66" s="4">
        <f>IF(A66&lt;=Sisendid!$B$6,I65,"")</f>
        <v>9516.9928579903099</v>
      </c>
      <c r="D66" s="4">
        <f>IF(A66&lt;=Sisendid!$B$6,Sisendid!$B$15,"")</f>
        <v>466.09319281411996</v>
      </c>
      <c r="E66" s="4">
        <f>IF(A66&lt;=Sisendid!$B$6,C66*(Sisendid!$B$5/12),"")</f>
        <v>62.653536315102876</v>
      </c>
      <c r="F66" s="4">
        <f>IF(A66&lt;=Sisendid!$B$6,MIN(D66-E66,C66),"")</f>
        <v>403.43965649901708</v>
      </c>
      <c r="G66" s="4">
        <f>IF(A66&lt;=Sisendid!$B$6,Sisendid!$B$8,"")</f>
        <v>3.99</v>
      </c>
      <c r="H66" s="4">
        <f>IF(A66&lt;=Sisendid!$B$6,E66+F66+G66,"")</f>
        <v>470.08319281411997</v>
      </c>
      <c r="I66" s="4">
        <f>IF(A66&lt;=Sisendid!$B$6,MAX(0,C66-F66),"")</f>
        <v>9113.5532014912933</v>
      </c>
      <c r="J66" s="4">
        <f>IF(A66&lt;=Sisendid!$B$6,J65+E66,"")</f>
        <v>8477.4243487808417</v>
      </c>
    </row>
    <row r="67" spans="1:10" x14ac:dyDescent="0.3">
      <c r="A67" s="8">
        <v>64</v>
      </c>
      <c r="B67" s="7">
        <f>IF(A67&lt;=Sisendid!$B$6,EDATE($B$4,A67-1),"")</f>
        <v>48063</v>
      </c>
      <c r="C67" s="4">
        <f>IF(A67&lt;=Sisendid!$B$6,I66,"")</f>
        <v>9113.5532014912933</v>
      </c>
      <c r="D67" s="4">
        <f>IF(A67&lt;=Sisendid!$B$6,Sisendid!$B$15,"")</f>
        <v>466.09319281411996</v>
      </c>
      <c r="E67" s="4">
        <f>IF(A67&lt;=Sisendid!$B$6,C67*(Sisendid!$B$5/12),"")</f>
        <v>59.997558576484352</v>
      </c>
      <c r="F67" s="4">
        <f>IF(A67&lt;=Sisendid!$B$6,MIN(D67-E67,C67),"")</f>
        <v>406.09563423763564</v>
      </c>
      <c r="G67" s="4">
        <f>IF(A67&lt;=Sisendid!$B$6,Sisendid!$B$8,"")</f>
        <v>3.99</v>
      </c>
      <c r="H67" s="4">
        <f>IF(A67&lt;=Sisendid!$B$6,E67+F67+G67,"")</f>
        <v>470.08319281412003</v>
      </c>
      <c r="I67" s="4">
        <f>IF(A67&lt;=Sisendid!$B$6,MAX(0,C67-F67),"")</f>
        <v>8707.4575672536575</v>
      </c>
      <c r="J67" s="4">
        <f>IF(A67&lt;=Sisendid!$B$6,J66+E67,"")</f>
        <v>8537.4219073573258</v>
      </c>
    </row>
    <row r="68" spans="1:10" x14ac:dyDescent="0.3">
      <c r="A68" s="8">
        <v>65</v>
      </c>
      <c r="B68" s="7">
        <f>IF(A68&lt;=Sisendid!$B$6,EDATE($B$4,A68-1),"")</f>
        <v>48094</v>
      </c>
      <c r="C68" s="4">
        <f>IF(A68&lt;=Sisendid!$B$6,I67,"")</f>
        <v>8707.4575672536575</v>
      </c>
      <c r="D68" s="4">
        <f>IF(A68&lt;=Sisendid!$B$6,Sisendid!$B$15,"")</f>
        <v>466.09319281411996</v>
      </c>
      <c r="E68" s="4">
        <f>IF(A68&lt;=Sisendid!$B$6,C68*(Sisendid!$B$5/12),"")</f>
        <v>57.32409565108658</v>
      </c>
      <c r="F68" s="4">
        <f>IF(A68&lt;=Sisendid!$B$6,MIN(D68-E68,C68),"")</f>
        <v>408.76909716303339</v>
      </c>
      <c r="G68" s="4">
        <f>IF(A68&lt;=Sisendid!$B$6,Sisendid!$B$8,"")</f>
        <v>3.99</v>
      </c>
      <c r="H68" s="4">
        <f>IF(A68&lt;=Sisendid!$B$6,E68+F68+G68,"")</f>
        <v>470.08319281411997</v>
      </c>
      <c r="I68" s="4">
        <f>IF(A68&lt;=Sisendid!$B$6,MAX(0,C68-F68),"")</f>
        <v>8298.6884700906248</v>
      </c>
      <c r="J68" s="4">
        <f>IF(A68&lt;=Sisendid!$B$6,J67+E68,"")</f>
        <v>8594.746003008413</v>
      </c>
    </row>
    <row r="69" spans="1:10" x14ac:dyDescent="0.3">
      <c r="A69" s="8">
        <v>66</v>
      </c>
      <c r="B69" s="7">
        <f>IF(A69&lt;=Sisendid!$B$6,EDATE($B$4,A69-1),"")</f>
        <v>48124</v>
      </c>
      <c r="C69" s="4">
        <f>IF(A69&lt;=Sisendid!$B$6,I68,"")</f>
        <v>8298.6884700906248</v>
      </c>
      <c r="D69" s="4">
        <f>IF(A69&lt;=Sisendid!$B$6,Sisendid!$B$15,"")</f>
        <v>466.09319281411996</v>
      </c>
      <c r="E69" s="4">
        <f>IF(A69&lt;=Sisendid!$B$6,C69*(Sisendid!$B$5/12),"")</f>
        <v>54.633032428096612</v>
      </c>
      <c r="F69" s="4">
        <f>IF(A69&lt;=Sisendid!$B$6,MIN(D69-E69,C69),"")</f>
        <v>411.46016038602335</v>
      </c>
      <c r="G69" s="4">
        <f>IF(A69&lt;=Sisendid!$B$6,Sisendid!$B$8,"")</f>
        <v>3.99</v>
      </c>
      <c r="H69" s="4">
        <f>IF(A69&lt;=Sisendid!$B$6,E69+F69+G69,"")</f>
        <v>470.08319281411997</v>
      </c>
      <c r="I69" s="4">
        <f>IF(A69&lt;=Sisendid!$B$6,MAX(0,C69-F69),"")</f>
        <v>7887.2283097046011</v>
      </c>
      <c r="J69" s="4">
        <f>IF(A69&lt;=Sisendid!$B$6,J68+E69,"")</f>
        <v>8649.3790354365101</v>
      </c>
    </row>
    <row r="70" spans="1:10" x14ac:dyDescent="0.3">
      <c r="A70" s="8">
        <v>67</v>
      </c>
      <c r="B70" s="7">
        <f>IF(A70&lt;=Sisendid!$B$6,EDATE($B$4,A70-1),"")</f>
        <v>48155</v>
      </c>
      <c r="C70" s="4">
        <f>IF(A70&lt;=Sisendid!$B$6,I69,"")</f>
        <v>7887.2283097046011</v>
      </c>
      <c r="D70" s="4">
        <f>IF(A70&lt;=Sisendid!$B$6,Sisendid!$B$15,"")</f>
        <v>466.09319281411996</v>
      </c>
      <c r="E70" s="4">
        <f>IF(A70&lt;=Sisendid!$B$6,C70*(Sisendid!$B$5/12),"")</f>
        <v>51.924253038888622</v>
      </c>
      <c r="F70" s="4">
        <f>IF(A70&lt;=Sisendid!$B$6,MIN(D70-E70,C70),"")</f>
        <v>414.16893977523137</v>
      </c>
      <c r="G70" s="4">
        <f>IF(A70&lt;=Sisendid!$B$6,Sisendid!$B$8,"")</f>
        <v>3.99</v>
      </c>
      <c r="H70" s="4">
        <f>IF(A70&lt;=Sisendid!$B$6,E70+F70+G70,"")</f>
        <v>470.08319281412003</v>
      </c>
      <c r="I70" s="4">
        <f>IF(A70&lt;=Sisendid!$B$6,MAX(0,C70-F70),"")</f>
        <v>7473.0593699293695</v>
      </c>
      <c r="J70" s="4">
        <f>IF(A70&lt;=Sisendid!$B$6,J69+E70,"")</f>
        <v>8701.3032884753993</v>
      </c>
    </row>
    <row r="71" spans="1:10" x14ac:dyDescent="0.3">
      <c r="A71" s="8">
        <v>68</v>
      </c>
      <c r="B71" s="7">
        <f>IF(A71&lt;=Sisendid!$B$6,EDATE($B$4,A71-1),"")</f>
        <v>48185</v>
      </c>
      <c r="C71" s="4">
        <f>IF(A71&lt;=Sisendid!$B$6,I70,"")</f>
        <v>7473.0593699293695</v>
      </c>
      <c r="D71" s="4">
        <f>IF(A71&lt;=Sisendid!$B$6,Sisendid!$B$15,"")</f>
        <v>466.09319281411996</v>
      </c>
      <c r="E71" s="4">
        <f>IF(A71&lt;=Sisendid!$B$6,C71*(Sisendid!$B$5/12),"")</f>
        <v>49.197640852035015</v>
      </c>
      <c r="F71" s="4">
        <f>IF(A71&lt;=Sisendid!$B$6,MIN(D71-E71,C71),"")</f>
        <v>416.89555196208494</v>
      </c>
      <c r="G71" s="4">
        <f>IF(A71&lt;=Sisendid!$B$6,Sisendid!$B$8,"")</f>
        <v>3.99</v>
      </c>
      <c r="H71" s="4">
        <f>IF(A71&lt;=Sisendid!$B$6,E71+F71+G71,"")</f>
        <v>470.08319281411997</v>
      </c>
      <c r="I71" s="4">
        <f>IF(A71&lt;=Sisendid!$B$6,MAX(0,C71-F71),"")</f>
        <v>7056.1638179672846</v>
      </c>
      <c r="J71" s="4">
        <f>IF(A71&lt;=Sisendid!$B$6,J70+E71,"")</f>
        <v>8750.5009293274343</v>
      </c>
    </row>
    <row r="72" spans="1:10" x14ac:dyDescent="0.3">
      <c r="A72" s="8">
        <v>69</v>
      </c>
      <c r="B72" s="7">
        <f>IF(A72&lt;=Sisendid!$B$6,EDATE($B$4,A72-1),"")</f>
        <v>48216</v>
      </c>
      <c r="C72" s="4">
        <f>IF(A72&lt;=Sisendid!$B$6,I71,"")</f>
        <v>7056.1638179672846</v>
      </c>
      <c r="D72" s="4">
        <f>IF(A72&lt;=Sisendid!$B$6,Sisendid!$B$15,"")</f>
        <v>466.09319281411996</v>
      </c>
      <c r="E72" s="4">
        <f>IF(A72&lt;=Sisendid!$B$6,C72*(Sisendid!$B$5/12),"")</f>
        <v>46.453078468284623</v>
      </c>
      <c r="F72" s="4">
        <f>IF(A72&lt;=Sisendid!$B$6,MIN(D72-E72,C72),"")</f>
        <v>419.64011434583534</v>
      </c>
      <c r="G72" s="4">
        <f>IF(A72&lt;=Sisendid!$B$6,Sisendid!$B$8,"")</f>
        <v>3.99</v>
      </c>
      <c r="H72" s="4">
        <f>IF(A72&lt;=Sisendid!$B$6,E72+F72+G72,"")</f>
        <v>470.08319281411997</v>
      </c>
      <c r="I72" s="4">
        <f>IF(A72&lt;=Sisendid!$B$6,MAX(0,C72-F72),"")</f>
        <v>6636.5237036214494</v>
      </c>
      <c r="J72" s="4">
        <f>IF(A72&lt;=Sisendid!$B$6,J71+E72,"")</f>
        <v>8796.954007795719</v>
      </c>
    </row>
    <row r="73" spans="1:10" x14ac:dyDescent="0.3">
      <c r="A73" s="8">
        <v>70</v>
      </c>
      <c r="B73" s="7">
        <f>IF(A73&lt;=Sisendid!$B$6,EDATE($B$4,A73-1),"")</f>
        <v>48247</v>
      </c>
      <c r="C73" s="4">
        <f>IF(A73&lt;=Sisendid!$B$6,I72,"")</f>
        <v>6636.5237036214494</v>
      </c>
      <c r="D73" s="4">
        <f>IF(A73&lt;=Sisendid!$B$6,Sisendid!$B$15,"")</f>
        <v>466.09319281411996</v>
      </c>
      <c r="E73" s="4">
        <f>IF(A73&lt;=Sisendid!$B$6,C73*(Sisendid!$B$5/12),"")</f>
        <v>43.690447715507872</v>
      </c>
      <c r="F73" s="4">
        <f>IF(A73&lt;=Sisendid!$B$6,MIN(D73-E73,C73),"")</f>
        <v>422.40274509861206</v>
      </c>
      <c r="G73" s="4">
        <f>IF(A73&lt;=Sisendid!$B$6,Sisendid!$B$8,"")</f>
        <v>3.99</v>
      </c>
      <c r="H73" s="4">
        <f>IF(A73&lt;=Sisendid!$B$6,E73+F73+G73,"")</f>
        <v>470.08319281411991</v>
      </c>
      <c r="I73" s="4">
        <f>IF(A73&lt;=Sisendid!$B$6,MAX(0,C73-F73),"")</f>
        <v>6214.1209585228371</v>
      </c>
      <c r="J73" s="4">
        <f>IF(A73&lt;=Sisendid!$B$6,J72+E73,"")</f>
        <v>8840.6444555112266</v>
      </c>
    </row>
    <row r="74" spans="1:10" x14ac:dyDescent="0.3">
      <c r="A74" s="8">
        <v>71</v>
      </c>
      <c r="B74" s="7">
        <f>IF(A74&lt;=Sisendid!$B$6,EDATE($B$4,A74-1),"")</f>
        <v>48276</v>
      </c>
      <c r="C74" s="4">
        <f>IF(A74&lt;=Sisendid!$B$6,I73,"")</f>
        <v>6214.1209585228371</v>
      </c>
      <c r="D74" s="4">
        <f>IF(A74&lt;=Sisendid!$B$6,Sisendid!$B$15,"")</f>
        <v>466.09319281411996</v>
      </c>
      <c r="E74" s="4">
        <f>IF(A74&lt;=Sisendid!$B$6,C74*(Sisendid!$B$5/12),"")</f>
        <v>40.909629643608675</v>
      </c>
      <c r="F74" s="4">
        <f>IF(A74&lt;=Sisendid!$B$6,MIN(D74-E74,C74),"")</f>
        <v>425.18356317051126</v>
      </c>
      <c r="G74" s="4">
        <f>IF(A74&lt;=Sisendid!$B$6,Sisendid!$B$8,"")</f>
        <v>3.99</v>
      </c>
      <c r="H74" s="4">
        <f>IF(A74&lt;=Sisendid!$B$6,E74+F74+G74,"")</f>
        <v>470.08319281411997</v>
      </c>
      <c r="I74" s="4">
        <f>IF(A74&lt;=Sisendid!$B$6,MAX(0,C74-F74),"")</f>
        <v>5788.9373953523254</v>
      </c>
      <c r="J74" s="4">
        <f>IF(A74&lt;=Sisendid!$B$6,J73+E74,"")</f>
        <v>8881.5540851548358</v>
      </c>
    </row>
    <row r="75" spans="1:10" x14ac:dyDescent="0.3">
      <c r="A75" s="8">
        <v>72</v>
      </c>
      <c r="B75" s="7">
        <f>IF(A75&lt;=Sisendid!$B$6,EDATE($B$4,A75-1),"")</f>
        <v>48307</v>
      </c>
      <c r="C75" s="4">
        <f>IF(A75&lt;=Sisendid!$B$6,I74,"")</f>
        <v>5788.9373953523254</v>
      </c>
      <c r="D75" s="4">
        <f>IF(A75&lt;=Sisendid!$B$6,Sisendid!$B$15,"")</f>
        <v>466.09319281411996</v>
      </c>
      <c r="E75" s="4">
        <f>IF(A75&lt;=Sisendid!$B$6,C75*(Sisendid!$B$5/12),"")</f>
        <v>38.110504519402809</v>
      </c>
      <c r="F75" s="4">
        <f>IF(A75&lt;=Sisendid!$B$6,MIN(D75-E75,C75),"")</f>
        <v>427.98268829471715</v>
      </c>
      <c r="G75" s="4">
        <f>IF(A75&lt;=Sisendid!$B$6,Sisendid!$B$8,"")</f>
        <v>3.99</v>
      </c>
      <c r="H75" s="4">
        <f>IF(A75&lt;=Sisendid!$B$6,E75+F75+G75,"")</f>
        <v>470.08319281411997</v>
      </c>
      <c r="I75" s="4">
        <f>IF(A75&lt;=Sisendid!$B$6,MAX(0,C75-F75),"")</f>
        <v>5360.9547070576082</v>
      </c>
      <c r="J75" s="4">
        <f>IF(A75&lt;=Sisendid!$B$6,J74+E75,"")</f>
        <v>8919.6645896742393</v>
      </c>
    </row>
    <row r="76" spans="1:10" x14ac:dyDescent="0.3">
      <c r="A76" s="8">
        <v>73</v>
      </c>
      <c r="B76" s="7">
        <f>IF(A76&lt;=Sisendid!$B$6,EDATE($B$4,A76-1),"")</f>
        <v>48337</v>
      </c>
      <c r="C76" s="4">
        <f>IF(A76&lt;=Sisendid!$B$6,I75,"")</f>
        <v>5360.9547070576082</v>
      </c>
      <c r="D76" s="4">
        <f>IF(A76&lt;=Sisendid!$B$6,Sisendid!$B$15,"")</f>
        <v>466.09319281411996</v>
      </c>
      <c r="E76" s="4">
        <f>IF(A76&lt;=Sisendid!$B$6,C76*(Sisendid!$B$5/12),"")</f>
        <v>35.292951821462587</v>
      </c>
      <c r="F76" s="4">
        <f>IF(A76&lt;=Sisendid!$B$6,MIN(D76-E76,C76),"")</f>
        <v>430.80024099265739</v>
      </c>
      <c r="G76" s="4">
        <f>IF(A76&lt;=Sisendid!$B$6,Sisendid!$B$8,"")</f>
        <v>3.99</v>
      </c>
      <c r="H76" s="4">
        <f>IF(A76&lt;=Sisendid!$B$6,E76+F76+G76,"")</f>
        <v>470.08319281411997</v>
      </c>
      <c r="I76" s="4">
        <f>IF(A76&lt;=Sisendid!$B$6,MAX(0,C76-F76),"")</f>
        <v>4930.1544660649506</v>
      </c>
      <c r="J76" s="4">
        <f>IF(A76&lt;=Sisendid!$B$6,J75+E76,"")</f>
        <v>8954.9575414957017</v>
      </c>
    </row>
    <row r="77" spans="1:10" x14ac:dyDescent="0.3">
      <c r="A77" s="8">
        <v>74</v>
      </c>
      <c r="B77" s="7">
        <f>IF(A77&lt;=Sisendid!$B$6,EDATE($B$4,A77-1),"")</f>
        <v>48368</v>
      </c>
      <c r="C77" s="4">
        <f>IF(A77&lt;=Sisendid!$B$6,I76,"")</f>
        <v>4930.1544660649506</v>
      </c>
      <c r="D77" s="4">
        <f>IF(A77&lt;=Sisendid!$B$6,Sisendid!$B$15,"")</f>
        <v>466.09319281411996</v>
      </c>
      <c r="E77" s="4">
        <f>IF(A77&lt;=Sisendid!$B$6,C77*(Sisendid!$B$5/12),"")</f>
        <v>32.456850234927593</v>
      </c>
      <c r="F77" s="4">
        <f>IF(A77&lt;=Sisendid!$B$6,MIN(D77-E77,C77),"")</f>
        <v>433.63634257919239</v>
      </c>
      <c r="G77" s="4">
        <f>IF(A77&lt;=Sisendid!$B$6,Sisendid!$B$8,"")</f>
        <v>3.99</v>
      </c>
      <c r="H77" s="4">
        <f>IF(A77&lt;=Sisendid!$B$6,E77+F77+G77,"")</f>
        <v>470.08319281411997</v>
      </c>
      <c r="I77" s="4">
        <f>IF(A77&lt;=Sisendid!$B$6,MAX(0,C77-F77),"")</f>
        <v>4496.5181234857582</v>
      </c>
      <c r="J77" s="4">
        <f>IF(A77&lt;=Sisendid!$B$6,J76+E77,"")</f>
        <v>8987.4143917306301</v>
      </c>
    </row>
    <row r="78" spans="1:10" x14ac:dyDescent="0.3">
      <c r="A78" s="8">
        <v>75</v>
      </c>
      <c r="B78" s="7">
        <f>IF(A78&lt;=Sisendid!$B$6,EDATE($B$4,A78-1),"")</f>
        <v>48398</v>
      </c>
      <c r="C78" s="4">
        <f>IF(A78&lt;=Sisendid!$B$6,I77,"")</f>
        <v>4496.5181234857582</v>
      </c>
      <c r="D78" s="4">
        <f>IF(A78&lt;=Sisendid!$B$6,Sisendid!$B$15,"")</f>
        <v>466.09319281411996</v>
      </c>
      <c r="E78" s="4">
        <f>IF(A78&lt;=Sisendid!$B$6,C78*(Sisendid!$B$5/12),"")</f>
        <v>29.602077646281241</v>
      </c>
      <c r="F78" s="4">
        <f>IF(A78&lt;=Sisendid!$B$6,MIN(D78-E78,C78),"")</f>
        <v>436.4911151678387</v>
      </c>
      <c r="G78" s="4">
        <f>IF(A78&lt;=Sisendid!$B$6,Sisendid!$B$8,"")</f>
        <v>3.99</v>
      </c>
      <c r="H78" s="4">
        <f>IF(A78&lt;=Sisendid!$B$6,E78+F78+G78,"")</f>
        <v>470.08319281411997</v>
      </c>
      <c r="I78" s="4">
        <f>IF(A78&lt;=Sisendid!$B$6,MAX(0,C78-F78),"")</f>
        <v>4060.0270083179194</v>
      </c>
      <c r="J78" s="4">
        <f>IF(A78&lt;=Sisendid!$B$6,J77+E78,"")</f>
        <v>9017.0164693769111</v>
      </c>
    </row>
    <row r="79" spans="1:10" x14ac:dyDescent="0.3">
      <c r="A79" s="8">
        <v>76</v>
      </c>
      <c r="B79" s="7">
        <f>IF(A79&lt;=Sisendid!$B$6,EDATE($B$4,A79-1),"")</f>
        <v>48429</v>
      </c>
      <c r="C79" s="4">
        <f>IF(A79&lt;=Sisendid!$B$6,I78,"")</f>
        <v>4060.0270083179194</v>
      </c>
      <c r="D79" s="4">
        <f>IF(A79&lt;=Sisendid!$B$6,Sisendid!$B$15,"")</f>
        <v>466.09319281411996</v>
      </c>
      <c r="E79" s="4">
        <f>IF(A79&lt;=Sisendid!$B$6,C79*(Sisendid!$B$5/12),"")</f>
        <v>26.728511138092969</v>
      </c>
      <c r="F79" s="4">
        <f>IF(A79&lt;=Sisendid!$B$6,MIN(D79-E79,C79),"")</f>
        <v>439.36468167602698</v>
      </c>
      <c r="G79" s="4">
        <f>IF(A79&lt;=Sisendid!$B$6,Sisendid!$B$8,"")</f>
        <v>3.99</v>
      </c>
      <c r="H79" s="4">
        <f>IF(A79&lt;=Sisendid!$B$6,E79+F79+G79,"")</f>
        <v>470.08319281411997</v>
      </c>
      <c r="I79" s="4">
        <f>IF(A79&lt;=Sisendid!$B$6,MAX(0,C79-F79),"")</f>
        <v>3620.6623266418924</v>
      </c>
      <c r="J79" s="4">
        <f>IF(A79&lt;=Sisendid!$B$6,J78+E79,"")</f>
        <v>9043.7449805150045</v>
      </c>
    </row>
    <row r="80" spans="1:10" x14ac:dyDescent="0.3">
      <c r="A80" s="8">
        <v>77</v>
      </c>
      <c r="B80" s="7">
        <f>IF(A80&lt;=Sisendid!$B$6,EDATE($B$4,A80-1),"")</f>
        <v>48460</v>
      </c>
      <c r="C80" s="4">
        <f>IF(A80&lt;=Sisendid!$B$6,I79,"")</f>
        <v>3620.6623266418924</v>
      </c>
      <c r="D80" s="4">
        <f>IF(A80&lt;=Sisendid!$B$6,Sisendid!$B$15,"")</f>
        <v>466.09319281411996</v>
      </c>
      <c r="E80" s="4">
        <f>IF(A80&lt;=Sisendid!$B$6,C80*(Sisendid!$B$5/12),"")</f>
        <v>23.836026983725791</v>
      </c>
      <c r="F80" s="4">
        <f>IF(A80&lt;=Sisendid!$B$6,MIN(D80-E80,C80),"")</f>
        <v>442.25716583039417</v>
      </c>
      <c r="G80" s="4">
        <f>IF(A80&lt;=Sisendid!$B$6,Sisendid!$B$8,"")</f>
        <v>3.99</v>
      </c>
      <c r="H80" s="4">
        <f>IF(A80&lt;=Sisendid!$B$6,E80+F80+G80,"")</f>
        <v>470.08319281411997</v>
      </c>
      <c r="I80" s="4">
        <f>IF(A80&lt;=Sisendid!$B$6,MAX(0,C80-F80),"")</f>
        <v>3178.4051608114983</v>
      </c>
      <c r="J80" s="4">
        <f>IF(A80&lt;=Sisendid!$B$6,J79+E80,"")</f>
        <v>9067.5810074987312</v>
      </c>
    </row>
    <row r="81" spans="1:10" x14ac:dyDescent="0.3">
      <c r="A81" s="8">
        <v>78</v>
      </c>
      <c r="B81" s="7">
        <f>IF(A81&lt;=Sisendid!$B$6,EDATE($B$4,A81-1),"")</f>
        <v>48490</v>
      </c>
      <c r="C81" s="4">
        <f>IF(A81&lt;=Sisendid!$B$6,I80,"")</f>
        <v>3178.4051608114983</v>
      </c>
      <c r="D81" s="4">
        <f>IF(A81&lt;=Sisendid!$B$6,Sisendid!$B$15,"")</f>
        <v>466.09319281411996</v>
      </c>
      <c r="E81" s="4">
        <f>IF(A81&lt;=Sisendid!$B$6,C81*(Sisendid!$B$5/12),"")</f>
        <v>20.924500642009029</v>
      </c>
      <c r="F81" s="4">
        <f>IF(A81&lt;=Sisendid!$B$6,MIN(D81-E81,C81),"")</f>
        <v>445.16869217211092</v>
      </c>
      <c r="G81" s="4">
        <f>IF(A81&lt;=Sisendid!$B$6,Sisendid!$B$8,"")</f>
        <v>3.99</v>
      </c>
      <c r="H81" s="4">
        <f>IF(A81&lt;=Sisendid!$B$6,E81+F81+G81,"")</f>
        <v>470.08319281411997</v>
      </c>
      <c r="I81" s="4">
        <f>IF(A81&lt;=Sisendid!$B$6,MAX(0,C81-F81),"")</f>
        <v>2733.2364686393876</v>
      </c>
      <c r="J81" s="4">
        <f>IF(A81&lt;=Sisendid!$B$6,J80+E81,"")</f>
        <v>9088.5055081407409</v>
      </c>
    </row>
    <row r="82" spans="1:10" x14ac:dyDescent="0.3">
      <c r="A82" s="8">
        <v>79</v>
      </c>
      <c r="B82" s="7">
        <f>IF(A82&lt;=Sisendid!$B$6,EDATE($B$4,A82-1),"")</f>
        <v>48521</v>
      </c>
      <c r="C82" s="4">
        <f>IF(A82&lt;=Sisendid!$B$6,I81,"")</f>
        <v>2733.2364686393876</v>
      </c>
      <c r="D82" s="4">
        <f>IF(A82&lt;=Sisendid!$B$6,Sisendid!$B$15,"")</f>
        <v>466.09319281411996</v>
      </c>
      <c r="E82" s="4">
        <f>IF(A82&lt;=Sisendid!$B$6,C82*(Sisendid!$B$5/12),"")</f>
        <v>17.993806751875969</v>
      </c>
      <c r="F82" s="4">
        <f>IF(A82&lt;=Sisendid!$B$6,MIN(D82-E82,C82),"")</f>
        <v>448.09938606224398</v>
      </c>
      <c r="G82" s="4">
        <f>IF(A82&lt;=Sisendid!$B$6,Sisendid!$B$8,"")</f>
        <v>3.99</v>
      </c>
      <c r="H82" s="4">
        <f>IF(A82&lt;=Sisendid!$B$6,E82+F82+G82,"")</f>
        <v>470.08319281411997</v>
      </c>
      <c r="I82" s="4">
        <f>IF(A82&lt;=Sisendid!$B$6,MAX(0,C82-F82),"")</f>
        <v>2285.1370825771437</v>
      </c>
      <c r="J82" s="4">
        <f>IF(A82&lt;=Sisendid!$B$6,J81+E82,"")</f>
        <v>9106.4993148926169</v>
      </c>
    </row>
    <row r="83" spans="1:10" x14ac:dyDescent="0.3">
      <c r="A83" s="8">
        <v>80</v>
      </c>
      <c r="B83" s="7">
        <f>IF(A83&lt;=Sisendid!$B$6,EDATE($B$4,A83-1),"")</f>
        <v>48551</v>
      </c>
      <c r="C83" s="4">
        <f>IF(A83&lt;=Sisendid!$B$6,I82,"")</f>
        <v>2285.1370825771437</v>
      </c>
      <c r="D83" s="4">
        <f>IF(A83&lt;=Sisendid!$B$6,Sisendid!$B$15,"")</f>
        <v>466.09319281411996</v>
      </c>
      <c r="E83" s="4">
        <f>IF(A83&lt;=Sisendid!$B$6,C83*(Sisendid!$B$5/12),"")</f>
        <v>15.043819126966197</v>
      </c>
      <c r="F83" s="4">
        <f>IF(A83&lt;=Sisendid!$B$6,MIN(D83-E83,C83),"")</f>
        <v>451.04937368715377</v>
      </c>
      <c r="G83" s="4">
        <f>IF(A83&lt;=Sisendid!$B$6,Sisendid!$B$8,"")</f>
        <v>3.99</v>
      </c>
      <c r="H83" s="4">
        <f>IF(A83&lt;=Sisendid!$B$6,E83+F83+G83,"")</f>
        <v>470.08319281411997</v>
      </c>
      <c r="I83" s="4">
        <f>IF(A83&lt;=Sisendid!$B$6,MAX(0,C83-F83),"")</f>
        <v>1834.0877088899899</v>
      </c>
      <c r="J83" s="4">
        <f>IF(A83&lt;=Sisendid!$B$6,J82+E83,"")</f>
        <v>9121.5431340195828</v>
      </c>
    </row>
    <row r="84" spans="1:10" x14ac:dyDescent="0.3">
      <c r="A84" s="8">
        <v>81</v>
      </c>
      <c r="B84" s="7">
        <f>IF(A84&lt;=Sisendid!$B$6,EDATE($B$4,A84-1),"")</f>
        <v>48582</v>
      </c>
      <c r="C84" s="4">
        <f>IF(A84&lt;=Sisendid!$B$6,I83,"")</f>
        <v>1834.0877088899899</v>
      </c>
      <c r="D84" s="4">
        <f>IF(A84&lt;=Sisendid!$B$6,Sisendid!$B$15,"")</f>
        <v>466.09319281411996</v>
      </c>
      <c r="E84" s="4">
        <f>IF(A84&lt;=Sisendid!$B$6,C84*(Sisendid!$B$5/12),"")</f>
        <v>12.074410750192433</v>
      </c>
      <c r="F84" s="4">
        <f>IF(A84&lt;=Sisendid!$B$6,MIN(D84-E84,C84),"")</f>
        <v>454.01878206392752</v>
      </c>
      <c r="G84" s="4">
        <f>IF(A84&lt;=Sisendid!$B$6,Sisendid!$B$8,"")</f>
        <v>3.99</v>
      </c>
      <c r="H84" s="4">
        <f>IF(A84&lt;=Sisendid!$B$6,E84+F84+G84,"")</f>
        <v>470.08319281411997</v>
      </c>
      <c r="I84" s="4">
        <f>IF(A84&lt;=Sisendid!$B$6,MAX(0,C84-F84),"")</f>
        <v>1380.0689268260624</v>
      </c>
      <c r="J84" s="4">
        <f>IF(A84&lt;=Sisendid!$B$6,J83+E84,"")</f>
        <v>9133.6175447697751</v>
      </c>
    </row>
    <row r="85" spans="1:10" x14ac:dyDescent="0.3">
      <c r="A85" s="8">
        <v>82</v>
      </c>
      <c r="B85" s="7">
        <f>IF(A85&lt;=Sisendid!$B$6,EDATE($B$4,A85-1),"")</f>
        <v>48613</v>
      </c>
      <c r="C85" s="4">
        <f>IF(A85&lt;=Sisendid!$B$6,I84,"")</f>
        <v>1380.0689268260624</v>
      </c>
      <c r="D85" s="4">
        <f>IF(A85&lt;=Sisendid!$B$6,Sisendid!$B$15,"")</f>
        <v>466.09319281411996</v>
      </c>
      <c r="E85" s="4">
        <f>IF(A85&lt;=Sisendid!$B$6,C85*(Sisendid!$B$5/12),"")</f>
        <v>9.0854537682715772</v>
      </c>
      <c r="F85" s="4">
        <f>IF(A85&lt;=Sisendid!$B$6,MIN(D85-E85,C85),"")</f>
        <v>457.00773904584838</v>
      </c>
      <c r="G85" s="4">
        <f>IF(A85&lt;=Sisendid!$B$6,Sisendid!$B$8,"")</f>
        <v>3.99</v>
      </c>
      <c r="H85" s="4">
        <f>IF(A85&lt;=Sisendid!$B$6,E85+F85+G85,"")</f>
        <v>470.08319281411997</v>
      </c>
      <c r="I85" s="4">
        <f>IF(A85&lt;=Sisendid!$B$6,MAX(0,C85-F85),"")</f>
        <v>923.06118778021391</v>
      </c>
      <c r="J85" s="4">
        <f>IF(A85&lt;=Sisendid!$B$6,J84+E85,"")</f>
        <v>9142.7029985380468</v>
      </c>
    </row>
    <row r="86" spans="1:10" x14ac:dyDescent="0.3">
      <c r="A86" s="8">
        <v>83</v>
      </c>
      <c r="B86" s="7">
        <f>IF(A86&lt;=Sisendid!$B$6,EDATE($B$4,A86-1),"")</f>
        <v>48641</v>
      </c>
      <c r="C86" s="4">
        <f>IF(A86&lt;=Sisendid!$B$6,I85,"")</f>
        <v>923.06118778021391</v>
      </c>
      <c r="D86" s="4">
        <f>IF(A86&lt;=Sisendid!$B$6,Sisendid!$B$15,"")</f>
        <v>466.09319281411996</v>
      </c>
      <c r="E86" s="4">
        <f>IF(A86&lt;=Sisendid!$B$6,C86*(Sisendid!$B$5/12),"")</f>
        <v>6.0768194862197413</v>
      </c>
      <c r="F86" s="4">
        <f>IF(A86&lt;=Sisendid!$B$6,MIN(D86-E86,C86),"")</f>
        <v>460.01637332790023</v>
      </c>
      <c r="G86" s="4">
        <f>IF(A86&lt;=Sisendid!$B$6,Sisendid!$B$8,"")</f>
        <v>3.99</v>
      </c>
      <c r="H86" s="4">
        <f>IF(A86&lt;=Sisendid!$B$6,E86+F86+G86,"")</f>
        <v>470.08319281411997</v>
      </c>
      <c r="I86" s="4">
        <f>IF(A86&lt;=Sisendid!$B$6,MAX(0,C86-F86),"")</f>
        <v>463.04481445231369</v>
      </c>
      <c r="J86" s="4">
        <f>IF(A86&lt;=Sisendid!$B$6,J85+E86,"")</f>
        <v>9148.7798180242662</v>
      </c>
    </row>
    <row r="87" spans="1:10" x14ac:dyDescent="0.3">
      <c r="A87" s="8">
        <v>84</v>
      </c>
      <c r="B87" s="7">
        <f>IF(A87&lt;=Sisendid!$B$6,EDATE($B$4,A87-1),"")</f>
        <v>48672</v>
      </c>
      <c r="C87" s="4">
        <f>IF(A87&lt;=Sisendid!$B$6,I86,"")</f>
        <v>463.04481445231369</v>
      </c>
      <c r="D87" s="4">
        <f>IF(A87&lt;=Sisendid!$B$6,Sisendid!$B$15,"")</f>
        <v>466.09319281411996</v>
      </c>
      <c r="E87" s="4">
        <f>IF(A87&lt;=Sisendid!$B$6,C87*(Sisendid!$B$5/12),"")</f>
        <v>3.0483783618110651</v>
      </c>
      <c r="F87" s="4">
        <f>IF(A87&lt;=Sisendid!$B$6,MIN(D87-E87,C87),"")</f>
        <v>463.04481445230891</v>
      </c>
      <c r="G87" s="4">
        <f>IF(A87&lt;=Sisendid!$B$6,Sisendid!$B$8,"")</f>
        <v>3.99</v>
      </c>
      <c r="H87" s="4">
        <f>IF(A87&lt;=Sisendid!$B$6,E87+F87+G87,"")</f>
        <v>470.08319281411997</v>
      </c>
      <c r="I87" s="4">
        <f>IF(A87&lt;=Sisendid!$B$6,MAX(0,C87-F87),"")</f>
        <v>4.7748471843078732E-12</v>
      </c>
      <c r="J87" s="4">
        <f>IF(A87&lt;=Sisendid!$B$6,J86+E87,"")</f>
        <v>9151.8281963860773</v>
      </c>
    </row>
    <row r="88" spans="1:10" x14ac:dyDescent="0.3">
      <c r="A88" s="8">
        <v>85</v>
      </c>
      <c r="B88" s="7" t="str">
        <f>IF(A88&lt;=Sisendid!$B$6,EDATE($B$4,A88-1),"")</f>
        <v/>
      </c>
      <c r="C88" s="4" t="str">
        <f>IF(A88&lt;=Sisendid!$B$6,I87,"")</f>
        <v/>
      </c>
      <c r="D88" s="4" t="str">
        <f>IF(A88&lt;=Sisendid!$B$6,Sisendid!$B$15,"")</f>
        <v/>
      </c>
      <c r="E88" s="4" t="str">
        <f>IF(A88&lt;=Sisendid!$B$6,C88*(Sisendid!$B$5/12),"")</f>
        <v/>
      </c>
      <c r="F88" s="4" t="str">
        <f>IF(A88&lt;=Sisendid!$B$6,MIN(D88-E88,C88),"")</f>
        <v/>
      </c>
      <c r="G88" s="4" t="str">
        <f>IF(A88&lt;=Sisendid!$B$6,Sisendid!$B$8,"")</f>
        <v/>
      </c>
      <c r="H88" s="4" t="str">
        <f>IF(A88&lt;=Sisendid!$B$6,E88+F88+G88,"")</f>
        <v/>
      </c>
      <c r="I88" s="4" t="str">
        <f>IF(A88&lt;=Sisendid!$B$6,MAX(0,C88-F88),"")</f>
        <v/>
      </c>
      <c r="J88" s="4" t="str">
        <f>IF(A88&lt;=Sisendid!$B$6,J87+E88,"")</f>
        <v/>
      </c>
    </row>
    <row r="89" spans="1:10" x14ac:dyDescent="0.3">
      <c r="A89" s="8">
        <v>86</v>
      </c>
      <c r="B89" s="7" t="str">
        <f>IF(A89&lt;=Sisendid!$B$6,EDATE($B$4,A89-1),"")</f>
        <v/>
      </c>
      <c r="C89" s="4" t="str">
        <f>IF(A89&lt;=Sisendid!$B$6,I88,"")</f>
        <v/>
      </c>
      <c r="D89" s="4" t="str">
        <f>IF(A89&lt;=Sisendid!$B$6,Sisendid!$B$15,"")</f>
        <v/>
      </c>
      <c r="E89" s="4" t="str">
        <f>IF(A89&lt;=Sisendid!$B$6,C89*(Sisendid!$B$5/12),"")</f>
        <v/>
      </c>
      <c r="F89" s="4" t="str">
        <f>IF(A89&lt;=Sisendid!$B$6,MIN(D89-E89,C89),"")</f>
        <v/>
      </c>
      <c r="G89" s="4" t="str">
        <f>IF(A89&lt;=Sisendid!$B$6,Sisendid!$B$8,"")</f>
        <v/>
      </c>
      <c r="H89" s="4" t="str">
        <f>IF(A89&lt;=Sisendid!$B$6,E89+F89+G89,"")</f>
        <v/>
      </c>
      <c r="I89" s="4" t="str">
        <f>IF(A89&lt;=Sisendid!$B$6,MAX(0,C89-F89),"")</f>
        <v/>
      </c>
      <c r="J89" s="4" t="str">
        <f>IF(A89&lt;=Sisendid!$B$6,J88+E89,"")</f>
        <v/>
      </c>
    </row>
    <row r="90" spans="1:10" x14ac:dyDescent="0.3">
      <c r="A90" s="8">
        <v>87</v>
      </c>
      <c r="B90" s="7" t="str">
        <f>IF(A90&lt;=Sisendid!$B$6,EDATE($B$4,A90-1),"")</f>
        <v/>
      </c>
      <c r="C90" s="4" t="str">
        <f>IF(A90&lt;=Sisendid!$B$6,I89,"")</f>
        <v/>
      </c>
      <c r="D90" s="4" t="str">
        <f>IF(A90&lt;=Sisendid!$B$6,Sisendid!$B$15,"")</f>
        <v/>
      </c>
      <c r="E90" s="4" t="str">
        <f>IF(A90&lt;=Sisendid!$B$6,C90*(Sisendid!$B$5/12),"")</f>
        <v/>
      </c>
      <c r="F90" s="4" t="str">
        <f>IF(A90&lt;=Sisendid!$B$6,MIN(D90-E90,C90),"")</f>
        <v/>
      </c>
      <c r="G90" s="4" t="str">
        <f>IF(A90&lt;=Sisendid!$B$6,Sisendid!$B$8,"")</f>
        <v/>
      </c>
      <c r="H90" s="4" t="str">
        <f>IF(A90&lt;=Sisendid!$B$6,E90+F90+G90,"")</f>
        <v/>
      </c>
      <c r="I90" s="4" t="str">
        <f>IF(A90&lt;=Sisendid!$B$6,MAX(0,C90-F90),"")</f>
        <v/>
      </c>
      <c r="J90" s="4" t="str">
        <f>IF(A90&lt;=Sisendid!$B$6,J89+E90,"")</f>
        <v/>
      </c>
    </row>
    <row r="91" spans="1:10" x14ac:dyDescent="0.3">
      <c r="A91" s="8">
        <v>88</v>
      </c>
      <c r="B91" s="7" t="str">
        <f>IF(A91&lt;=Sisendid!$B$6,EDATE($B$4,A91-1),"")</f>
        <v/>
      </c>
      <c r="C91" s="4" t="str">
        <f>IF(A91&lt;=Sisendid!$B$6,I90,"")</f>
        <v/>
      </c>
      <c r="D91" s="4" t="str">
        <f>IF(A91&lt;=Sisendid!$B$6,Sisendid!$B$15,"")</f>
        <v/>
      </c>
      <c r="E91" s="4" t="str">
        <f>IF(A91&lt;=Sisendid!$B$6,C91*(Sisendid!$B$5/12),"")</f>
        <v/>
      </c>
      <c r="F91" s="4" t="str">
        <f>IF(A91&lt;=Sisendid!$B$6,MIN(D91-E91,C91),"")</f>
        <v/>
      </c>
      <c r="G91" s="4" t="str">
        <f>IF(A91&lt;=Sisendid!$B$6,Sisendid!$B$8,"")</f>
        <v/>
      </c>
      <c r="H91" s="4" t="str">
        <f>IF(A91&lt;=Sisendid!$B$6,E91+F91+G91,"")</f>
        <v/>
      </c>
      <c r="I91" s="4" t="str">
        <f>IF(A91&lt;=Sisendid!$B$6,MAX(0,C91-F91),"")</f>
        <v/>
      </c>
      <c r="J91" s="4" t="str">
        <f>IF(A91&lt;=Sisendid!$B$6,J90+E91,"")</f>
        <v/>
      </c>
    </row>
    <row r="92" spans="1:10" x14ac:dyDescent="0.3">
      <c r="A92" s="8">
        <v>89</v>
      </c>
      <c r="B92" s="7" t="str">
        <f>IF(A92&lt;=Sisendid!$B$6,EDATE($B$4,A92-1),"")</f>
        <v/>
      </c>
      <c r="C92" s="4" t="str">
        <f>IF(A92&lt;=Sisendid!$B$6,I91,"")</f>
        <v/>
      </c>
      <c r="D92" s="4" t="str">
        <f>IF(A92&lt;=Sisendid!$B$6,Sisendid!$B$15,"")</f>
        <v/>
      </c>
      <c r="E92" s="4" t="str">
        <f>IF(A92&lt;=Sisendid!$B$6,C92*(Sisendid!$B$5/12),"")</f>
        <v/>
      </c>
      <c r="F92" s="4" t="str">
        <f>IF(A92&lt;=Sisendid!$B$6,MIN(D92-E92,C92),"")</f>
        <v/>
      </c>
      <c r="G92" s="4" t="str">
        <f>IF(A92&lt;=Sisendid!$B$6,Sisendid!$B$8,"")</f>
        <v/>
      </c>
      <c r="H92" s="4" t="str">
        <f>IF(A92&lt;=Sisendid!$B$6,E92+F92+G92,"")</f>
        <v/>
      </c>
      <c r="I92" s="4" t="str">
        <f>IF(A92&lt;=Sisendid!$B$6,MAX(0,C92-F92),"")</f>
        <v/>
      </c>
      <c r="J92" s="4" t="str">
        <f>IF(A92&lt;=Sisendid!$B$6,J91+E92,"")</f>
        <v/>
      </c>
    </row>
    <row r="93" spans="1:10" x14ac:dyDescent="0.3">
      <c r="A93" s="8">
        <v>90</v>
      </c>
      <c r="B93" s="7" t="str">
        <f>IF(A93&lt;=Sisendid!$B$6,EDATE($B$4,A93-1),"")</f>
        <v/>
      </c>
      <c r="C93" s="4" t="str">
        <f>IF(A93&lt;=Sisendid!$B$6,I92,"")</f>
        <v/>
      </c>
      <c r="D93" s="4" t="str">
        <f>IF(A93&lt;=Sisendid!$B$6,Sisendid!$B$15,"")</f>
        <v/>
      </c>
      <c r="E93" s="4" t="str">
        <f>IF(A93&lt;=Sisendid!$B$6,C93*(Sisendid!$B$5/12),"")</f>
        <v/>
      </c>
      <c r="F93" s="4" t="str">
        <f>IF(A93&lt;=Sisendid!$B$6,MIN(D93-E93,C93),"")</f>
        <v/>
      </c>
      <c r="G93" s="4" t="str">
        <f>IF(A93&lt;=Sisendid!$B$6,Sisendid!$B$8,"")</f>
        <v/>
      </c>
      <c r="H93" s="4" t="str">
        <f>IF(A93&lt;=Sisendid!$B$6,E93+F93+G93,"")</f>
        <v/>
      </c>
      <c r="I93" s="4" t="str">
        <f>IF(A93&lt;=Sisendid!$B$6,MAX(0,C93-F93),"")</f>
        <v/>
      </c>
      <c r="J93" s="4" t="str">
        <f>IF(A93&lt;=Sisendid!$B$6,J92+E93,"")</f>
        <v/>
      </c>
    </row>
    <row r="94" spans="1:10" x14ac:dyDescent="0.3">
      <c r="A94" s="8">
        <v>91</v>
      </c>
      <c r="B94" s="7" t="str">
        <f>IF(A94&lt;=Sisendid!$B$6,EDATE($B$4,A94-1),"")</f>
        <v/>
      </c>
      <c r="C94" s="4" t="str">
        <f>IF(A94&lt;=Sisendid!$B$6,I93,"")</f>
        <v/>
      </c>
      <c r="D94" s="4" t="str">
        <f>IF(A94&lt;=Sisendid!$B$6,Sisendid!$B$15,"")</f>
        <v/>
      </c>
      <c r="E94" s="4" t="str">
        <f>IF(A94&lt;=Sisendid!$B$6,C94*(Sisendid!$B$5/12),"")</f>
        <v/>
      </c>
      <c r="F94" s="4" t="str">
        <f>IF(A94&lt;=Sisendid!$B$6,MIN(D94-E94,C94),"")</f>
        <v/>
      </c>
      <c r="G94" s="4" t="str">
        <f>IF(A94&lt;=Sisendid!$B$6,Sisendid!$B$8,"")</f>
        <v/>
      </c>
      <c r="H94" s="4" t="str">
        <f>IF(A94&lt;=Sisendid!$B$6,E94+F94+G94,"")</f>
        <v/>
      </c>
      <c r="I94" s="4" t="str">
        <f>IF(A94&lt;=Sisendid!$B$6,MAX(0,C94-F94),"")</f>
        <v/>
      </c>
      <c r="J94" s="4" t="str">
        <f>IF(A94&lt;=Sisendid!$B$6,J93+E94,"")</f>
        <v/>
      </c>
    </row>
    <row r="95" spans="1:10" x14ac:dyDescent="0.3">
      <c r="A95" s="8">
        <v>92</v>
      </c>
      <c r="B95" s="7" t="str">
        <f>IF(A95&lt;=Sisendid!$B$6,EDATE($B$4,A95-1),"")</f>
        <v/>
      </c>
      <c r="C95" s="4" t="str">
        <f>IF(A95&lt;=Sisendid!$B$6,I94,"")</f>
        <v/>
      </c>
      <c r="D95" s="4" t="str">
        <f>IF(A95&lt;=Sisendid!$B$6,Sisendid!$B$15,"")</f>
        <v/>
      </c>
      <c r="E95" s="4" t="str">
        <f>IF(A95&lt;=Sisendid!$B$6,C95*(Sisendid!$B$5/12),"")</f>
        <v/>
      </c>
      <c r="F95" s="4" t="str">
        <f>IF(A95&lt;=Sisendid!$B$6,MIN(D95-E95,C95),"")</f>
        <v/>
      </c>
      <c r="G95" s="4" t="str">
        <f>IF(A95&lt;=Sisendid!$B$6,Sisendid!$B$8,"")</f>
        <v/>
      </c>
      <c r="H95" s="4" t="str">
        <f>IF(A95&lt;=Sisendid!$B$6,E95+F95+G95,"")</f>
        <v/>
      </c>
      <c r="I95" s="4" t="str">
        <f>IF(A95&lt;=Sisendid!$B$6,MAX(0,C95-F95),"")</f>
        <v/>
      </c>
      <c r="J95" s="4" t="str">
        <f>IF(A95&lt;=Sisendid!$B$6,J94+E95,"")</f>
        <v/>
      </c>
    </row>
    <row r="96" spans="1:10" x14ac:dyDescent="0.3">
      <c r="A96" s="8">
        <v>93</v>
      </c>
      <c r="B96" s="7" t="str">
        <f>IF(A96&lt;=Sisendid!$B$6,EDATE($B$4,A96-1),"")</f>
        <v/>
      </c>
      <c r="C96" s="4" t="str">
        <f>IF(A96&lt;=Sisendid!$B$6,I95,"")</f>
        <v/>
      </c>
      <c r="D96" s="4" t="str">
        <f>IF(A96&lt;=Sisendid!$B$6,Sisendid!$B$15,"")</f>
        <v/>
      </c>
      <c r="E96" s="4" t="str">
        <f>IF(A96&lt;=Sisendid!$B$6,C96*(Sisendid!$B$5/12),"")</f>
        <v/>
      </c>
      <c r="F96" s="4" t="str">
        <f>IF(A96&lt;=Sisendid!$B$6,MIN(D96-E96,C96),"")</f>
        <v/>
      </c>
      <c r="G96" s="4" t="str">
        <f>IF(A96&lt;=Sisendid!$B$6,Sisendid!$B$8,"")</f>
        <v/>
      </c>
      <c r="H96" s="4" t="str">
        <f>IF(A96&lt;=Sisendid!$B$6,E96+F96+G96,"")</f>
        <v/>
      </c>
      <c r="I96" s="4" t="str">
        <f>IF(A96&lt;=Sisendid!$B$6,MAX(0,C96-F96),"")</f>
        <v/>
      </c>
      <c r="J96" s="4" t="str">
        <f>IF(A96&lt;=Sisendid!$B$6,J95+E96,"")</f>
        <v/>
      </c>
    </row>
    <row r="97" spans="1:10" x14ac:dyDescent="0.3">
      <c r="A97" s="8">
        <v>94</v>
      </c>
      <c r="B97" s="7" t="str">
        <f>IF(A97&lt;=Sisendid!$B$6,EDATE($B$4,A97-1),"")</f>
        <v/>
      </c>
      <c r="C97" s="4" t="str">
        <f>IF(A97&lt;=Sisendid!$B$6,I96,"")</f>
        <v/>
      </c>
      <c r="D97" s="4" t="str">
        <f>IF(A97&lt;=Sisendid!$B$6,Sisendid!$B$15,"")</f>
        <v/>
      </c>
      <c r="E97" s="4" t="str">
        <f>IF(A97&lt;=Sisendid!$B$6,C97*(Sisendid!$B$5/12),"")</f>
        <v/>
      </c>
      <c r="F97" s="4" t="str">
        <f>IF(A97&lt;=Sisendid!$B$6,MIN(D97-E97,C97),"")</f>
        <v/>
      </c>
      <c r="G97" s="4" t="str">
        <f>IF(A97&lt;=Sisendid!$B$6,Sisendid!$B$8,"")</f>
        <v/>
      </c>
      <c r="H97" s="4" t="str">
        <f>IF(A97&lt;=Sisendid!$B$6,E97+F97+G97,"")</f>
        <v/>
      </c>
      <c r="I97" s="4" t="str">
        <f>IF(A97&lt;=Sisendid!$B$6,MAX(0,C97-F97),"")</f>
        <v/>
      </c>
      <c r="J97" s="4" t="str">
        <f>IF(A97&lt;=Sisendid!$B$6,J96+E97,"")</f>
        <v/>
      </c>
    </row>
    <row r="98" spans="1:10" x14ac:dyDescent="0.3">
      <c r="A98" s="8">
        <v>95</v>
      </c>
      <c r="B98" s="7" t="str">
        <f>IF(A98&lt;=Sisendid!$B$6,EDATE($B$4,A98-1),"")</f>
        <v/>
      </c>
      <c r="C98" s="4" t="str">
        <f>IF(A98&lt;=Sisendid!$B$6,I97,"")</f>
        <v/>
      </c>
      <c r="D98" s="4" t="str">
        <f>IF(A98&lt;=Sisendid!$B$6,Sisendid!$B$15,"")</f>
        <v/>
      </c>
      <c r="E98" s="4" t="str">
        <f>IF(A98&lt;=Sisendid!$B$6,C98*(Sisendid!$B$5/12),"")</f>
        <v/>
      </c>
      <c r="F98" s="4" t="str">
        <f>IF(A98&lt;=Sisendid!$B$6,MIN(D98-E98,C98),"")</f>
        <v/>
      </c>
      <c r="G98" s="4" t="str">
        <f>IF(A98&lt;=Sisendid!$B$6,Sisendid!$B$8,"")</f>
        <v/>
      </c>
      <c r="H98" s="4" t="str">
        <f>IF(A98&lt;=Sisendid!$B$6,E98+F98+G98,"")</f>
        <v/>
      </c>
      <c r="I98" s="4" t="str">
        <f>IF(A98&lt;=Sisendid!$B$6,MAX(0,C98-F98),"")</f>
        <v/>
      </c>
      <c r="J98" s="4" t="str">
        <f>IF(A98&lt;=Sisendid!$B$6,J97+E98,"")</f>
        <v/>
      </c>
    </row>
    <row r="99" spans="1:10" x14ac:dyDescent="0.3">
      <c r="A99" s="8">
        <v>96</v>
      </c>
      <c r="B99" s="7" t="str">
        <f>IF(A99&lt;=Sisendid!$B$6,EDATE($B$4,A99-1),"")</f>
        <v/>
      </c>
      <c r="C99" s="4" t="str">
        <f>IF(A99&lt;=Sisendid!$B$6,I98,"")</f>
        <v/>
      </c>
      <c r="D99" s="4" t="str">
        <f>IF(A99&lt;=Sisendid!$B$6,Sisendid!$B$15,"")</f>
        <v/>
      </c>
      <c r="E99" s="4" t="str">
        <f>IF(A99&lt;=Sisendid!$B$6,C99*(Sisendid!$B$5/12),"")</f>
        <v/>
      </c>
      <c r="F99" s="4" t="str">
        <f>IF(A99&lt;=Sisendid!$B$6,MIN(D99-E99,C99),"")</f>
        <v/>
      </c>
      <c r="G99" s="4" t="str">
        <f>IF(A99&lt;=Sisendid!$B$6,Sisendid!$B$8,"")</f>
        <v/>
      </c>
      <c r="H99" s="4" t="str">
        <f>IF(A99&lt;=Sisendid!$B$6,E99+F99+G99,"")</f>
        <v/>
      </c>
      <c r="I99" s="4" t="str">
        <f>IF(A99&lt;=Sisendid!$B$6,MAX(0,C99-F99),"")</f>
        <v/>
      </c>
      <c r="J99" s="4" t="str">
        <f>IF(A99&lt;=Sisendid!$B$6,J98+E99,"")</f>
        <v/>
      </c>
    </row>
    <row r="100" spans="1:10" x14ac:dyDescent="0.3">
      <c r="A100" s="8">
        <v>97</v>
      </c>
      <c r="B100" s="7" t="str">
        <f>IF(A100&lt;=Sisendid!$B$6,EDATE($B$4,A100-1),"")</f>
        <v/>
      </c>
      <c r="C100" s="4" t="str">
        <f>IF(A100&lt;=Sisendid!$B$6,I99,"")</f>
        <v/>
      </c>
      <c r="D100" s="4" t="str">
        <f>IF(A100&lt;=Sisendid!$B$6,Sisendid!$B$15,"")</f>
        <v/>
      </c>
      <c r="E100" s="4" t="str">
        <f>IF(A100&lt;=Sisendid!$B$6,C100*(Sisendid!$B$5/12),"")</f>
        <v/>
      </c>
      <c r="F100" s="4" t="str">
        <f>IF(A100&lt;=Sisendid!$B$6,MIN(D100-E100,C100),"")</f>
        <v/>
      </c>
      <c r="G100" s="4" t="str">
        <f>IF(A100&lt;=Sisendid!$B$6,Sisendid!$B$8,"")</f>
        <v/>
      </c>
      <c r="H100" s="4" t="str">
        <f>IF(A100&lt;=Sisendid!$B$6,E100+F100+G100,"")</f>
        <v/>
      </c>
      <c r="I100" s="4" t="str">
        <f>IF(A100&lt;=Sisendid!$B$6,MAX(0,C100-F100),"")</f>
        <v/>
      </c>
      <c r="J100" s="4" t="str">
        <f>IF(A100&lt;=Sisendid!$B$6,J99+E100,"")</f>
        <v/>
      </c>
    </row>
    <row r="101" spans="1:10" x14ac:dyDescent="0.3">
      <c r="A101" s="8">
        <v>98</v>
      </c>
      <c r="B101" s="7" t="str">
        <f>IF(A101&lt;=Sisendid!$B$6,EDATE($B$4,A101-1),"")</f>
        <v/>
      </c>
      <c r="C101" s="4" t="str">
        <f>IF(A101&lt;=Sisendid!$B$6,I100,"")</f>
        <v/>
      </c>
      <c r="D101" s="4" t="str">
        <f>IF(A101&lt;=Sisendid!$B$6,Sisendid!$B$15,"")</f>
        <v/>
      </c>
      <c r="E101" s="4" t="str">
        <f>IF(A101&lt;=Sisendid!$B$6,C101*(Sisendid!$B$5/12),"")</f>
        <v/>
      </c>
      <c r="F101" s="4" t="str">
        <f>IF(A101&lt;=Sisendid!$B$6,MIN(D101-E101,C101),"")</f>
        <v/>
      </c>
      <c r="G101" s="4" t="str">
        <f>IF(A101&lt;=Sisendid!$B$6,Sisendid!$B$8,"")</f>
        <v/>
      </c>
      <c r="H101" s="4" t="str">
        <f>IF(A101&lt;=Sisendid!$B$6,E101+F101+G101,"")</f>
        <v/>
      </c>
      <c r="I101" s="4" t="str">
        <f>IF(A101&lt;=Sisendid!$B$6,MAX(0,C101-F101),"")</f>
        <v/>
      </c>
      <c r="J101" s="4" t="str">
        <f>IF(A101&lt;=Sisendid!$B$6,J100+E101,"")</f>
        <v/>
      </c>
    </row>
    <row r="102" spans="1:10" x14ac:dyDescent="0.3">
      <c r="A102" s="8">
        <v>99</v>
      </c>
      <c r="B102" s="7" t="str">
        <f>IF(A102&lt;=Sisendid!$B$6,EDATE($B$4,A102-1),"")</f>
        <v/>
      </c>
      <c r="C102" s="4" t="str">
        <f>IF(A102&lt;=Sisendid!$B$6,I101,"")</f>
        <v/>
      </c>
      <c r="D102" s="4" t="str">
        <f>IF(A102&lt;=Sisendid!$B$6,Sisendid!$B$15,"")</f>
        <v/>
      </c>
      <c r="E102" s="4" t="str">
        <f>IF(A102&lt;=Sisendid!$B$6,C102*(Sisendid!$B$5/12),"")</f>
        <v/>
      </c>
      <c r="F102" s="4" t="str">
        <f>IF(A102&lt;=Sisendid!$B$6,MIN(D102-E102,C102),"")</f>
        <v/>
      </c>
      <c r="G102" s="4" t="str">
        <f>IF(A102&lt;=Sisendid!$B$6,Sisendid!$B$8,"")</f>
        <v/>
      </c>
      <c r="H102" s="4" t="str">
        <f>IF(A102&lt;=Sisendid!$B$6,E102+F102+G102,"")</f>
        <v/>
      </c>
      <c r="I102" s="4" t="str">
        <f>IF(A102&lt;=Sisendid!$B$6,MAX(0,C102-F102),"")</f>
        <v/>
      </c>
      <c r="J102" s="4" t="str">
        <f>IF(A102&lt;=Sisendid!$B$6,J101+E102,"")</f>
        <v/>
      </c>
    </row>
    <row r="103" spans="1:10" x14ac:dyDescent="0.3">
      <c r="A103" s="8">
        <v>100</v>
      </c>
      <c r="B103" s="7" t="str">
        <f>IF(A103&lt;=Sisendid!$B$6,EDATE($B$4,A103-1),"")</f>
        <v/>
      </c>
      <c r="C103" s="4" t="str">
        <f>IF(A103&lt;=Sisendid!$B$6,I102,"")</f>
        <v/>
      </c>
      <c r="D103" s="4" t="str">
        <f>IF(A103&lt;=Sisendid!$B$6,Sisendid!$B$15,"")</f>
        <v/>
      </c>
      <c r="E103" s="4" t="str">
        <f>IF(A103&lt;=Sisendid!$B$6,C103*(Sisendid!$B$5/12),"")</f>
        <v/>
      </c>
      <c r="F103" s="4" t="str">
        <f>IF(A103&lt;=Sisendid!$B$6,MIN(D103-E103,C103),"")</f>
        <v/>
      </c>
      <c r="G103" s="4" t="str">
        <f>IF(A103&lt;=Sisendid!$B$6,Sisendid!$B$8,"")</f>
        <v/>
      </c>
      <c r="H103" s="4" t="str">
        <f>IF(A103&lt;=Sisendid!$B$6,E103+F103+G103,"")</f>
        <v/>
      </c>
      <c r="I103" s="4" t="str">
        <f>IF(A103&lt;=Sisendid!$B$6,MAX(0,C103-F103),"")</f>
        <v/>
      </c>
      <c r="J103" s="4" t="str">
        <f>IF(A103&lt;=Sisendid!$B$6,J102+E103,"")</f>
        <v/>
      </c>
    </row>
    <row r="104" spans="1:10" x14ac:dyDescent="0.3">
      <c r="A104" s="8">
        <v>101</v>
      </c>
      <c r="B104" s="7" t="str">
        <f>IF(A104&lt;=Sisendid!$B$6,EDATE($B$4,A104-1),"")</f>
        <v/>
      </c>
      <c r="C104" s="4" t="str">
        <f>IF(A104&lt;=Sisendid!$B$6,I103,"")</f>
        <v/>
      </c>
      <c r="D104" s="4" t="str">
        <f>IF(A104&lt;=Sisendid!$B$6,Sisendid!$B$15,"")</f>
        <v/>
      </c>
      <c r="E104" s="4" t="str">
        <f>IF(A104&lt;=Sisendid!$B$6,C104*(Sisendid!$B$5/12),"")</f>
        <v/>
      </c>
      <c r="F104" s="4" t="str">
        <f>IF(A104&lt;=Sisendid!$B$6,MIN(D104-E104,C104),"")</f>
        <v/>
      </c>
      <c r="G104" s="4" t="str">
        <f>IF(A104&lt;=Sisendid!$B$6,Sisendid!$B$8,"")</f>
        <v/>
      </c>
      <c r="H104" s="4" t="str">
        <f>IF(A104&lt;=Sisendid!$B$6,E104+F104+G104,"")</f>
        <v/>
      </c>
      <c r="I104" s="4" t="str">
        <f>IF(A104&lt;=Sisendid!$B$6,MAX(0,C104-F104),"")</f>
        <v/>
      </c>
      <c r="J104" s="4" t="str">
        <f>IF(A104&lt;=Sisendid!$B$6,J103+E104,"")</f>
        <v/>
      </c>
    </row>
    <row r="105" spans="1:10" x14ac:dyDescent="0.3">
      <c r="A105" s="8">
        <v>102</v>
      </c>
      <c r="B105" s="7" t="str">
        <f>IF(A105&lt;=Sisendid!$B$6,EDATE($B$4,A105-1),"")</f>
        <v/>
      </c>
      <c r="C105" s="4" t="str">
        <f>IF(A105&lt;=Sisendid!$B$6,I104,"")</f>
        <v/>
      </c>
      <c r="D105" s="4" t="str">
        <f>IF(A105&lt;=Sisendid!$B$6,Sisendid!$B$15,"")</f>
        <v/>
      </c>
      <c r="E105" s="4" t="str">
        <f>IF(A105&lt;=Sisendid!$B$6,C105*(Sisendid!$B$5/12),"")</f>
        <v/>
      </c>
      <c r="F105" s="4" t="str">
        <f>IF(A105&lt;=Sisendid!$B$6,MIN(D105-E105,C105),"")</f>
        <v/>
      </c>
      <c r="G105" s="4" t="str">
        <f>IF(A105&lt;=Sisendid!$B$6,Sisendid!$B$8,"")</f>
        <v/>
      </c>
      <c r="H105" s="4" t="str">
        <f>IF(A105&lt;=Sisendid!$B$6,E105+F105+G105,"")</f>
        <v/>
      </c>
      <c r="I105" s="4" t="str">
        <f>IF(A105&lt;=Sisendid!$B$6,MAX(0,C105-F105),"")</f>
        <v/>
      </c>
      <c r="J105" s="4" t="str">
        <f>IF(A105&lt;=Sisendid!$B$6,J104+E105,"")</f>
        <v/>
      </c>
    </row>
    <row r="106" spans="1:10" x14ac:dyDescent="0.3">
      <c r="A106" s="8">
        <v>103</v>
      </c>
      <c r="B106" s="7" t="str">
        <f>IF(A106&lt;=Sisendid!$B$6,EDATE($B$4,A106-1),"")</f>
        <v/>
      </c>
      <c r="C106" s="4" t="str">
        <f>IF(A106&lt;=Sisendid!$B$6,I105,"")</f>
        <v/>
      </c>
      <c r="D106" s="4" t="str">
        <f>IF(A106&lt;=Sisendid!$B$6,Sisendid!$B$15,"")</f>
        <v/>
      </c>
      <c r="E106" s="4" t="str">
        <f>IF(A106&lt;=Sisendid!$B$6,C106*(Sisendid!$B$5/12),"")</f>
        <v/>
      </c>
      <c r="F106" s="4" t="str">
        <f>IF(A106&lt;=Sisendid!$B$6,MIN(D106-E106,C106),"")</f>
        <v/>
      </c>
      <c r="G106" s="4" t="str">
        <f>IF(A106&lt;=Sisendid!$B$6,Sisendid!$B$8,"")</f>
        <v/>
      </c>
      <c r="H106" s="4" t="str">
        <f>IF(A106&lt;=Sisendid!$B$6,E106+F106+G106,"")</f>
        <v/>
      </c>
      <c r="I106" s="4" t="str">
        <f>IF(A106&lt;=Sisendid!$B$6,MAX(0,C106-F106),"")</f>
        <v/>
      </c>
      <c r="J106" s="4" t="str">
        <f>IF(A106&lt;=Sisendid!$B$6,J105+E106,"")</f>
        <v/>
      </c>
    </row>
    <row r="107" spans="1:10" x14ac:dyDescent="0.3">
      <c r="A107" s="8">
        <v>104</v>
      </c>
      <c r="B107" s="7" t="str">
        <f>IF(A107&lt;=Sisendid!$B$6,EDATE($B$4,A107-1),"")</f>
        <v/>
      </c>
      <c r="C107" s="4" t="str">
        <f>IF(A107&lt;=Sisendid!$B$6,I106,"")</f>
        <v/>
      </c>
      <c r="D107" s="4" t="str">
        <f>IF(A107&lt;=Sisendid!$B$6,Sisendid!$B$15,"")</f>
        <v/>
      </c>
      <c r="E107" s="4" t="str">
        <f>IF(A107&lt;=Sisendid!$B$6,C107*(Sisendid!$B$5/12),"")</f>
        <v/>
      </c>
      <c r="F107" s="4" t="str">
        <f>IF(A107&lt;=Sisendid!$B$6,MIN(D107-E107,C107),"")</f>
        <v/>
      </c>
      <c r="G107" s="4" t="str">
        <f>IF(A107&lt;=Sisendid!$B$6,Sisendid!$B$8,"")</f>
        <v/>
      </c>
      <c r="H107" s="4" t="str">
        <f>IF(A107&lt;=Sisendid!$B$6,E107+F107+G107,"")</f>
        <v/>
      </c>
      <c r="I107" s="4" t="str">
        <f>IF(A107&lt;=Sisendid!$B$6,MAX(0,C107-F107),"")</f>
        <v/>
      </c>
      <c r="J107" s="4" t="str">
        <f>IF(A107&lt;=Sisendid!$B$6,J106+E107,"")</f>
        <v/>
      </c>
    </row>
    <row r="108" spans="1:10" x14ac:dyDescent="0.3">
      <c r="A108" s="8">
        <v>105</v>
      </c>
      <c r="B108" s="7" t="str">
        <f>IF(A108&lt;=Sisendid!$B$6,EDATE($B$4,A108-1),"")</f>
        <v/>
      </c>
      <c r="C108" s="4" t="str">
        <f>IF(A108&lt;=Sisendid!$B$6,I107,"")</f>
        <v/>
      </c>
      <c r="D108" s="4" t="str">
        <f>IF(A108&lt;=Sisendid!$B$6,Sisendid!$B$15,"")</f>
        <v/>
      </c>
      <c r="E108" s="4" t="str">
        <f>IF(A108&lt;=Sisendid!$B$6,C108*(Sisendid!$B$5/12),"")</f>
        <v/>
      </c>
      <c r="F108" s="4" t="str">
        <f>IF(A108&lt;=Sisendid!$B$6,MIN(D108-E108,C108),"")</f>
        <v/>
      </c>
      <c r="G108" s="4" t="str">
        <f>IF(A108&lt;=Sisendid!$B$6,Sisendid!$B$8,"")</f>
        <v/>
      </c>
      <c r="H108" s="4" t="str">
        <f>IF(A108&lt;=Sisendid!$B$6,E108+F108+G108,"")</f>
        <v/>
      </c>
      <c r="I108" s="4" t="str">
        <f>IF(A108&lt;=Sisendid!$B$6,MAX(0,C108-F108),"")</f>
        <v/>
      </c>
      <c r="J108" s="4" t="str">
        <f>IF(A108&lt;=Sisendid!$B$6,J107+E108,"")</f>
        <v/>
      </c>
    </row>
    <row r="109" spans="1:10" x14ac:dyDescent="0.3">
      <c r="A109" s="8">
        <v>106</v>
      </c>
      <c r="B109" s="7" t="str">
        <f>IF(A109&lt;=Sisendid!$B$6,EDATE($B$4,A109-1),"")</f>
        <v/>
      </c>
      <c r="C109" s="4" t="str">
        <f>IF(A109&lt;=Sisendid!$B$6,I108,"")</f>
        <v/>
      </c>
      <c r="D109" s="4" t="str">
        <f>IF(A109&lt;=Sisendid!$B$6,Sisendid!$B$15,"")</f>
        <v/>
      </c>
      <c r="E109" s="4" t="str">
        <f>IF(A109&lt;=Sisendid!$B$6,C109*(Sisendid!$B$5/12),"")</f>
        <v/>
      </c>
      <c r="F109" s="4" t="str">
        <f>IF(A109&lt;=Sisendid!$B$6,MIN(D109-E109,C109),"")</f>
        <v/>
      </c>
      <c r="G109" s="4" t="str">
        <f>IF(A109&lt;=Sisendid!$B$6,Sisendid!$B$8,"")</f>
        <v/>
      </c>
      <c r="H109" s="4" t="str">
        <f>IF(A109&lt;=Sisendid!$B$6,E109+F109+G109,"")</f>
        <v/>
      </c>
      <c r="I109" s="4" t="str">
        <f>IF(A109&lt;=Sisendid!$B$6,MAX(0,C109-F109),"")</f>
        <v/>
      </c>
      <c r="J109" s="4" t="str">
        <f>IF(A109&lt;=Sisendid!$B$6,J108+E109,"")</f>
        <v/>
      </c>
    </row>
    <row r="110" spans="1:10" x14ac:dyDescent="0.3">
      <c r="A110" s="8">
        <v>107</v>
      </c>
      <c r="B110" s="7" t="str">
        <f>IF(A110&lt;=Sisendid!$B$6,EDATE($B$4,A110-1),"")</f>
        <v/>
      </c>
      <c r="C110" s="4" t="str">
        <f>IF(A110&lt;=Sisendid!$B$6,I109,"")</f>
        <v/>
      </c>
      <c r="D110" s="4" t="str">
        <f>IF(A110&lt;=Sisendid!$B$6,Sisendid!$B$15,"")</f>
        <v/>
      </c>
      <c r="E110" s="4" t="str">
        <f>IF(A110&lt;=Sisendid!$B$6,C110*(Sisendid!$B$5/12),"")</f>
        <v/>
      </c>
      <c r="F110" s="4" t="str">
        <f>IF(A110&lt;=Sisendid!$B$6,MIN(D110-E110,C110),"")</f>
        <v/>
      </c>
      <c r="G110" s="4" t="str">
        <f>IF(A110&lt;=Sisendid!$B$6,Sisendid!$B$8,"")</f>
        <v/>
      </c>
      <c r="H110" s="4" t="str">
        <f>IF(A110&lt;=Sisendid!$B$6,E110+F110+G110,"")</f>
        <v/>
      </c>
      <c r="I110" s="4" t="str">
        <f>IF(A110&lt;=Sisendid!$B$6,MAX(0,C110-F110),"")</f>
        <v/>
      </c>
      <c r="J110" s="4" t="str">
        <f>IF(A110&lt;=Sisendid!$B$6,J109+E110,"")</f>
        <v/>
      </c>
    </row>
    <row r="111" spans="1:10" x14ac:dyDescent="0.3">
      <c r="A111" s="8">
        <v>108</v>
      </c>
      <c r="B111" s="7" t="str">
        <f>IF(A111&lt;=Sisendid!$B$6,EDATE($B$4,A111-1),"")</f>
        <v/>
      </c>
      <c r="C111" s="4" t="str">
        <f>IF(A111&lt;=Sisendid!$B$6,I110,"")</f>
        <v/>
      </c>
      <c r="D111" s="4" t="str">
        <f>IF(A111&lt;=Sisendid!$B$6,Sisendid!$B$15,"")</f>
        <v/>
      </c>
      <c r="E111" s="4" t="str">
        <f>IF(A111&lt;=Sisendid!$B$6,C111*(Sisendid!$B$5/12),"")</f>
        <v/>
      </c>
      <c r="F111" s="4" t="str">
        <f>IF(A111&lt;=Sisendid!$B$6,MIN(D111-E111,C111),"")</f>
        <v/>
      </c>
      <c r="G111" s="4" t="str">
        <f>IF(A111&lt;=Sisendid!$B$6,Sisendid!$B$8,"")</f>
        <v/>
      </c>
      <c r="H111" s="4" t="str">
        <f>IF(A111&lt;=Sisendid!$B$6,E111+F111+G111,"")</f>
        <v/>
      </c>
      <c r="I111" s="4" t="str">
        <f>IF(A111&lt;=Sisendid!$B$6,MAX(0,C111-F111),"")</f>
        <v/>
      </c>
      <c r="J111" s="4" t="str">
        <f>IF(A111&lt;=Sisendid!$B$6,J110+E111,"")</f>
        <v/>
      </c>
    </row>
    <row r="112" spans="1:10" x14ac:dyDescent="0.3">
      <c r="A112" s="8">
        <v>109</v>
      </c>
      <c r="B112" s="7" t="str">
        <f>IF(A112&lt;=Sisendid!$B$6,EDATE($B$4,A112-1),"")</f>
        <v/>
      </c>
      <c r="C112" s="4" t="str">
        <f>IF(A112&lt;=Sisendid!$B$6,I111,"")</f>
        <v/>
      </c>
      <c r="D112" s="4" t="str">
        <f>IF(A112&lt;=Sisendid!$B$6,Sisendid!$B$15,"")</f>
        <v/>
      </c>
      <c r="E112" s="4" t="str">
        <f>IF(A112&lt;=Sisendid!$B$6,C112*(Sisendid!$B$5/12),"")</f>
        <v/>
      </c>
      <c r="F112" s="4" t="str">
        <f>IF(A112&lt;=Sisendid!$B$6,MIN(D112-E112,C112),"")</f>
        <v/>
      </c>
      <c r="G112" s="4" t="str">
        <f>IF(A112&lt;=Sisendid!$B$6,Sisendid!$B$8,"")</f>
        <v/>
      </c>
      <c r="H112" s="4" t="str">
        <f>IF(A112&lt;=Sisendid!$B$6,E112+F112+G112,"")</f>
        <v/>
      </c>
      <c r="I112" s="4" t="str">
        <f>IF(A112&lt;=Sisendid!$B$6,MAX(0,C112-F112),"")</f>
        <v/>
      </c>
      <c r="J112" s="4" t="str">
        <f>IF(A112&lt;=Sisendid!$B$6,J111+E112,"")</f>
        <v/>
      </c>
    </row>
    <row r="113" spans="1:10" x14ac:dyDescent="0.3">
      <c r="A113" s="8">
        <v>110</v>
      </c>
      <c r="B113" s="7" t="str">
        <f>IF(A113&lt;=Sisendid!$B$6,EDATE($B$4,A113-1),"")</f>
        <v/>
      </c>
      <c r="C113" s="4" t="str">
        <f>IF(A113&lt;=Sisendid!$B$6,I112,"")</f>
        <v/>
      </c>
      <c r="D113" s="4" t="str">
        <f>IF(A113&lt;=Sisendid!$B$6,Sisendid!$B$15,"")</f>
        <v/>
      </c>
      <c r="E113" s="4" t="str">
        <f>IF(A113&lt;=Sisendid!$B$6,C113*(Sisendid!$B$5/12),"")</f>
        <v/>
      </c>
      <c r="F113" s="4" t="str">
        <f>IF(A113&lt;=Sisendid!$B$6,MIN(D113-E113,C113),"")</f>
        <v/>
      </c>
      <c r="G113" s="4" t="str">
        <f>IF(A113&lt;=Sisendid!$B$6,Sisendid!$B$8,"")</f>
        <v/>
      </c>
      <c r="H113" s="4" t="str">
        <f>IF(A113&lt;=Sisendid!$B$6,E113+F113+G113,"")</f>
        <v/>
      </c>
      <c r="I113" s="4" t="str">
        <f>IF(A113&lt;=Sisendid!$B$6,MAX(0,C113-F113),"")</f>
        <v/>
      </c>
      <c r="J113" s="4" t="str">
        <f>IF(A113&lt;=Sisendid!$B$6,J112+E113,"")</f>
        <v/>
      </c>
    </row>
    <row r="114" spans="1:10" x14ac:dyDescent="0.3">
      <c r="A114" s="8">
        <v>111</v>
      </c>
      <c r="B114" s="7" t="str">
        <f>IF(A114&lt;=Sisendid!$B$6,EDATE($B$4,A114-1),"")</f>
        <v/>
      </c>
      <c r="C114" s="4" t="str">
        <f>IF(A114&lt;=Sisendid!$B$6,I113,"")</f>
        <v/>
      </c>
      <c r="D114" s="4" t="str">
        <f>IF(A114&lt;=Sisendid!$B$6,Sisendid!$B$15,"")</f>
        <v/>
      </c>
      <c r="E114" s="4" t="str">
        <f>IF(A114&lt;=Sisendid!$B$6,C114*(Sisendid!$B$5/12),"")</f>
        <v/>
      </c>
      <c r="F114" s="4" t="str">
        <f>IF(A114&lt;=Sisendid!$B$6,MIN(D114-E114,C114),"")</f>
        <v/>
      </c>
      <c r="G114" s="4" t="str">
        <f>IF(A114&lt;=Sisendid!$B$6,Sisendid!$B$8,"")</f>
        <v/>
      </c>
      <c r="H114" s="4" t="str">
        <f>IF(A114&lt;=Sisendid!$B$6,E114+F114+G114,"")</f>
        <v/>
      </c>
      <c r="I114" s="4" t="str">
        <f>IF(A114&lt;=Sisendid!$B$6,MAX(0,C114-F114),"")</f>
        <v/>
      </c>
      <c r="J114" s="4" t="str">
        <f>IF(A114&lt;=Sisendid!$B$6,J113+E114,"")</f>
        <v/>
      </c>
    </row>
    <row r="115" spans="1:10" x14ac:dyDescent="0.3">
      <c r="A115" s="8">
        <v>112</v>
      </c>
      <c r="B115" s="7" t="str">
        <f>IF(A115&lt;=Sisendid!$B$6,EDATE($B$4,A115-1),"")</f>
        <v/>
      </c>
      <c r="C115" s="4" t="str">
        <f>IF(A115&lt;=Sisendid!$B$6,I114,"")</f>
        <v/>
      </c>
      <c r="D115" s="4" t="str">
        <f>IF(A115&lt;=Sisendid!$B$6,Sisendid!$B$15,"")</f>
        <v/>
      </c>
      <c r="E115" s="4" t="str">
        <f>IF(A115&lt;=Sisendid!$B$6,C115*(Sisendid!$B$5/12),"")</f>
        <v/>
      </c>
      <c r="F115" s="4" t="str">
        <f>IF(A115&lt;=Sisendid!$B$6,MIN(D115-E115,C115),"")</f>
        <v/>
      </c>
      <c r="G115" s="4" t="str">
        <f>IF(A115&lt;=Sisendid!$B$6,Sisendid!$B$8,"")</f>
        <v/>
      </c>
      <c r="H115" s="4" t="str">
        <f>IF(A115&lt;=Sisendid!$B$6,E115+F115+G115,"")</f>
        <v/>
      </c>
      <c r="I115" s="4" t="str">
        <f>IF(A115&lt;=Sisendid!$B$6,MAX(0,C115-F115),"")</f>
        <v/>
      </c>
      <c r="J115" s="4" t="str">
        <f>IF(A115&lt;=Sisendid!$B$6,E115,"")</f>
        <v/>
      </c>
    </row>
    <row r="116" spans="1:10" x14ac:dyDescent="0.3">
      <c r="A116" s="8">
        <v>113</v>
      </c>
      <c r="B116" s="7" t="str">
        <f>IF(A116&lt;=Sisendid!$B$6,EDATE($B$4,A116-1),"")</f>
        <v/>
      </c>
      <c r="C116" s="4" t="str">
        <f>IF(A116&lt;=Sisendid!$B$6,I115,"")</f>
        <v/>
      </c>
      <c r="D116" s="4" t="str">
        <f>IF(A116&lt;=Sisendid!$B$6,Sisendid!$B$15,"")</f>
        <v/>
      </c>
      <c r="E116" s="4" t="str">
        <f>IF(A116&lt;=Sisendid!$B$6,C116*(Sisendid!$B$5/12),"")</f>
        <v/>
      </c>
      <c r="F116" s="4" t="str">
        <f>IF(A116&lt;=Sisendid!$B$6,MIN(D116-E116,C116),"")</f>
        <v/>
      </c>
      <c r="G116" s="4" t="str">
        <f>IF(A116&lt;=Sisendid!$B$6,Sisendid!$B$8,"")</f>
        <v/>
      </c>
      <c r="H116" s="4" t="str">
        <f>IF(A116&lt;=Sisendid!$B$6,E116+F116+G116,"")</f>
        <v/>
      </c>
      <c r="I116" s="4" t="str">
        <f>IF(A116&lt;=Sisendid!$B$6,MAX(0,C116-F116),"")</f>
        <v/>
      </c>
      <c r="J116" s="4" t="str">
        <f>IF(A116&lt;=Sisendid!$B$6,E116,"")</f>
        <v/>
      </c>
    </row>
    <row r="117" spans="1:10" x14ac:dyDescent="0.3">
      <c r="A117" s="8">
        <v>114</v>
      </c>
      <c r="B117" s="7" t="str">
        <f>IF(A117&lt;=Sisendid!$B$6,EDATE($B$4,A117-1),"")</f>
        <v/>
      </c>
      <c r="C117" s="4" t="str">
        <f>IF(A117&lt;=Sisendid!$B$6,I116,"")</f>
        <v/>
      </c>
      <c r="D117" s="4" t="str">
        <f>IF(A117&lt;=Sisendid!$B$6,Sisendid!$B$15,"")</f>
        <v/>
      </c>
      <c r="E117" s="4" t="str">
        <f>IF(A117&lt;=Sisendid!$B$6,C117*(Sisendid!$B$5/12),"")</f>
        <v/>
      </c>
      <c r="F117" s="4" t="str">
        <f>IF(A117&lt;=Sisendid!$B$6,MIN(D117-E117,C117),"")</f>
        <v/>
      </c>
      <c r="G117" s="4" t="str">
        <f>IF(A117&lt;=Sisendid!$B$6,Sisendid!$B$8,"")</f>
        <v/>
      </c>
      <c r="H117" s="4" t="str">
        <f>IF(A117&lt;=Sisendid!$B$6,E117+F117+G117,"")</f>
        <v/>
      </c>
      <c r="I117" s="4" t="str">
        <f>IF(A117&lt;=Sisendid!$B$6,MAX(0,C117-F117),"")</f>
        <v/>
      </c>
      <c r="J117" s="4" t="str">
        <f>IF(A117&lt;=Sisendid!$B$6,E117,"")</f>
        <v/>
      </c>
    </row>
    <row r="118" spans="1:10" x14ac:dyDescent="0.3">
      <c r="A118" s="8">
        <v>115</v>
      </c>
      <c r="B118" s="7" t="str">
        <f>IF(A118&lt;=Sisendid!$B$6,EDATE($B$4,A118-1),"")</f>
        <v/>
      </c>
      <c r="C118" s="4" t="str">
        <f>IF(A118&lt;=Sisendid!$B$6,I117,"")</f>
        <v/>
      </c>
      <c r="D118" s="4" t="str">
        <f>IF(A118&lt;=Sisendid!$B$6,Sisendid!$B$15,"")</f>
        <v/>
      </c>
      <c r="E118" s="4" t="str">
        <f>IF(A118&lt;=Sisendid!$B$6,C118*(Sisendid!$B$5/12),"")</f>
        <v/>
      </c>
      <c r="F118" s="4" t="str">
        <f>IF(A118&lt;=Sisendid!$B$6,MIN(D118-E118,C118),"")</f>
        <v/>
      </c>
      <c r="G118" s="4" t="str">
        <f>IF(A118&lt;=Sisendid!$B$6,Sisendid!$B$8,"")</f>
        <v/>
      </c>
      <c r="H118" s="4" t="str">
        <f>IF(A118&lt;=Sisendid!$B$6,E118+F118+G118,"")</f>
        <v/>
      </c>
      <c r="I118" s="4" t="str">
        <f>IF(A118&lt;=Sisendid!$B$6,MAX(0,C118-F118),"")</f>
        <v/>
      </c>
      <c r="J118" s="4" t="str">
        <f>IF(A118&lt;=Sisendid!$B$6,E118,"")</f>
        <v/>
      </c>
    </row>
    <row r="119" spans="1:10" x14ac:dyDescent="0.3">
      <c r="A119" s="8">
        <v>116</v>
      </c>
      <c r="B119" s="7" t="str">
        <f>IF(A119&lt;=Sisendid!$B$6,EDATE($B$4,A119-1),"")</f>
        <v/>
      </c>
      <c r="C119" s="4" t="str">
        <f>IF(A119&lt;=Sisendid!$B$6,I118,"")</f>
        <v/>
      </c>
      <c r="D119" s="4" t="str">
        <f>IF(A119&lt;=Sisendid!$B$6,Sisendid!$B$15,"")</f>
        <v/>
      </c>
      <c r="E119" s="4" t="str">
        <f>IF(A119&lt;=Sisendid!$B$6,C119*(Sisendid!$B$5/12),"")</f>
        <v/>
      </c>
      <c r="F119" s="4" t="str">
        <f>IF(A119&lt;=Sisendid!$B$6,MIN(D119-E119,C119),"")</f>
        <v/>
      </c>
      <c r="G119" s="4" t="str">
        <f>IF(A119&lt;=Sisendid!$B$6,Sisendid!$B$8,"")</f>
        <v/>
      </c>
      <c r="H119" s="4" t="str">
        <f>IF(A119&lt;=Sisendid!$B$6,E119+F119+G119,"")</f>
        <v/>
      </c>
      <c r="I119" s="4" t="str">
        <f>IF(A119&lt;=Sisendid!$B$6,MAX(0,C119-F119),"")</f>
        <v/>
      </c>
      <c r="J119" s="4" t="str">
        <f>IF(A119&lt;=Sisendid!$B$6,E119,"")</f>
        <v/>
      </c>
    </row>
    <row r="120" spans="1:10" x14ac:dyDescent="0.3">
      <c r="A120" s="8">
        <v>117</v>
      </c>
      <c r="B120" s="7" t="str">
        <f>IF(A120&lt;=Sisendid!$B$6,EDATE($B$4,A120-1),"")</f>
        <v/>
      </c>
      <c r="C120" s="4" t="str">
        <f>IF(A120&lt;=Sisendid!$B$6,I119,"")</f>
        <v/>
      </c>
      <c r="D120" s="4" t="str">
        <f>IF(A120&lt;=Sisendid!$B$6,Sisendid!$B$15,"")</f>
        <v/>
      </c>
      <c r="E120" s="4" t="str">
        <f>IF(A120&lt;=Sisendid!$B$6,C120*(Sisendid!$B$5/12),"")</f>
        <v/>
      </c>
      <c r="F120" s="4" t="str">
        <f>IF(A120&lt;=Sisendid!$B$6,MIN(D120-E120,C120),"")</f>
        <v/>
      </c>
      <c r="G120" s="4" t="str">
        <f>IF(A120&lt;=Sisendid!$B$6,Sisendid!$B$8,"")</f>
        <v/>
      </c>
      <c r="H120" s="4" t="str">
        <f>IF(A120&lt;=Sisendid!$B$6,E120+F120+G120,"")</f>
        <v/>
      </c>
      <c r="I120" s="4" t="str">
        <f>IF(A120&lt;=Sisendid!$B$6,MAX(0,C120-F120),"")</f>
        <v/>
      </c>
      <c r="J120" s="4" t="str">
        <f>IF(A120&lt;=Sisendid!$B$6,E120,"")</f>
        <v/>
      </c>
    </row>
    <row r="121" spans="1:10" x14ac:dyDescent="0.3">
      <c r="A121" s="8">
        <v>118</v>
      </c>
      <c r="B121" s="7" t="str">
        <f>IF(A121&lt;=Sisendid!$B$6,EDATE($B$4,A121-1),"")</f>
        <v/>
      </c>
      <c r="C121" s="4" t="str">
        <f>IF(A121&lt;=Sisendid!$B$6,I120,"")</f>
        <v/>
      </c>
      <c r="D121" s="4" t="str">
        <f>IF(A121&lt;=Sisendid!$B$6,Sisendid!$B$15,"")</f>
        <v/>
      </c>
      <c r="E121" s="4" t="str">
        <f>IF(A121&lt;=Sisendid!$B$6,C121*(Sisendid!$B$5/12),"")</f>
        <v/>
      </c>
      <c r="F121" s="4" t="str">
        <f>IF(A121&lt;=Sisendid!$B$6,MIN(D121-E121,C121),"")</f>
        <v/>
      </c>
      <c r="G121" s="4" t="str">
        <f>IF(A121&lt;=Sisendid!$B$6,Sisendid!$B$8,"")</f>
        <v/>
      </c>
      <c r="H121" s="4" t="str">
        <f>IF(A121&lt;=Sisendid!$B$6,E121+F121+G121,"")</f>
        <v/>
      </c>
      <c r="I121" s="4" t="str">
        <f>IF(A121&lt;=Sisendid!$B$6,MAX(0,C121-F121),"")</f>
        <v/>
      </c>
      <c r="J121" s="4" t="str">
        <f>IF(A121&lt;=Sisendid!$B$6,E121,"")</f>
        <v/>
      </c>
    </row>
    <row r="122" spans="1:10" x14ac:dyDescent="0.3">
      <c r="A122" s="8">
        <v>119</v>
      </c>
      <c r="B122" s="7" t="str">
        <f>IF(A122&lt;=Sisendid!$B$6,EDATE($B$4,A122-1),"")</f>
        <v/>
      </c>
      <c r="C122" s="4" t="str">
        <f>IF(A122&lt;=Sisendid!$B$6,I121,"")</f>
        <v/>
      </c>
      <c r="D122" s="4" t="str">
        <f>IF(A122&lt;=Sisendid!$B$6,Sisendid!$B$15,"")</f>
        <v/>
      </c>
      <c r="E122" s="4" t="str">
        <f>IF(A122&lt;=Sisendid!$B$6,C122*(Sisendid!$B$5/12),"")</f>
        <v/>
      </c>
      <c r="F122" s="4" t="str">
        <f>IF(A122&lt;=Sisendid!$B$6,MIN(D122-E122,C122),"")</f>
        <v/>
      </c>
      <c r="G122" s="4" t="str">
        <f>IF(A122&lt;=Sisendid!$B$6,Sisendid!$B$8,"")</f>
        <v/>
      </c>
      <c r="H122" s="4" t="str">
        <f>IF(A122&lt;=Sisendid!$B$6,E122+F122+G122,"")</f>
        <v/>
      </c>
      <c r="I122" s="4" t="str">
        <f>IF(A122&lt;=Sisendid!$B$6,MAX(0,C122-F122),"")</f>
        <v/>
      </c>
      <c r="J122" s="4" t="str">
        <f>IF(A122&lt;=Sisendid!$B$6,E122,"")</f>
        <v/>
      </c>
    </row>
    <row r="123" spans="1:10" x14ac:dyDescent="0.3">
      <c r="A123" s="8">
        <v>120</v>
      </c>
      <c r="B123" s="7" t="str">
        <f>IF(A123&lt;=Sisendid!$B$6,EDATE($B$4,A123-1),"")</f>
        <v/>
      </c>
      <c r="C123" s="4" t="str">
        <f>IF(A123&lt;=Sisendid!$B$6,I122,"")</f>
        <v/>
      </c>
      <c r="D123" s="4" t="str">
        <f>IF(A123&lt;=Sisendid!$B$6,Sisendid!$B$15,"")</f>
        <v/>
      </c>
      <c r="E123" s="4" t="str">
        <f>IF(A123&lt;=Sisendid!$B$6,C123*(Sisendid!$B$5/12),"")</f>
        <v/>
      </c>
      <c r="F123" s="4" t="str">
        <f>IF(A123&lt;=Sisendid!$B$6,MIN(D123-E123,C123),"")</f>
        <v/>
      </c>
      <c r="G123" s="4" t="str">
        <f>IF(A123&lt;=Sisendid!$B$6,Sisendid!$B$8,"")</f>
        <v/>
      </c>
      <c r="H123" s="4" t="str">
        <f>IF(A123&lt;=Sisendid!$B$6,E123+F123+G123,"")</f>
        <v/>
      </c>
      <c r="I123" s="4" t="str">
        <f>IF(A123&lt;=Sisendid!$B$6,MAX(0,C123-F123),"")</f>
        <v/>
      </c>
      <c r="J123" s="4" t="str">
        <f>IF(A123&lt;=Sisendid!$B$6,E123,"")</f>
        <v/>
      </c>
    </row>
  </sheetData>
  <mergeCells count="1">
    <mergeCell ref="A1:J1"/>
  </mergeCells>
  <conditionalFormatting sqref="E4:E12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{2EB0C2DB-B9F5-3A90-B52F-ED447E40351D}</x14:id>
        </ext>
      </extLst>
    </cfRule>
  </conditionalFormatting>
  <pageMargins left="0.7" right="0.7" top="0.75" bottom="0.75" header="0.3" footer="0.3"/>
  <pageSetup paperSize="0" orientation="portrait" horizontalDpi="203" verticalDpi="203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B0C2DB-B9F5-3A90-B52F-ED447E40351D}">
            <x14:dataBar>
              <x14:cfvo type="min"/>
              <x14:cfvo type="max"/>
              <x14:negativeFillColor auto="1"/>
              <x14:axisColor auto="1"/>
            </x14:dataBar>
          </x14:cfRule>
          <xm:sqref>E4:E123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Normal="100" workbookViewId="0">
      <selection activeCell="A18" sqref="A18"/>
    </sheetView>
  </sheetViews>
  <sheetFormatPr defaultRowHeight="14.4" x14ac:dyDescent="0.3"/>
  <cols>
    <col min="1" max="1" width="50.33203125" customWidth="1"/>
    <col min="2" max="2" width="13.5546875" customWidth="1"/>
    <col min="3" max="3" width="8.109375" customWidth="1"/>
    <col min="4" max="4" width="14.77734375" customWidth="1"/>
    <col min="5" max="7" width="12.5546875" customWidth="1"/>
    <col min="8" max="8" width="15.77734375" customWidth="1"/>
    <col min="9" max="9" width="13.6640625" customWidth="1"/>
    <col min="10" max="10" width="14.77734375" customWidth="1"/>
  </cols>
  <sheetData>
    <row r="1" spans="1:10" ht="19.8" x14ac:dyDescent="0.4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39</v>
      </c>
      <c r="B3" s="1" t="s">
        <v>4</v>
      </c>
      <c r="C3" s="1" t="s">
        <v>33</v>
      </c>
      <c r="D3" s="1" t="s">
        <v>40</v>
      </c>
      <c r="E3" s="1" t="s">
        <v>9</v>
      </c>
      <c r="F3" t="s">
        <v>35</v>
      </c>
      <c r="G3" s="15" t="s">
        <v>32</v>
      </c>
      <c r="H3" s="14" t="s">
        <v>54</v>
      </c>
      <c r="I3" s="1" t="s">
        <v>41</v>
      </c>
      <c r="J3" s="1" t="s">
        <v>42</v>
      </c>
    </row>
    <row r="4" spans="1:10" x14ac:dyDescent="0.3">
      <c r="A4" t="s">
        <v>44</v>
      </c>
      <c r="B4" s="16">
        <f>Sisendid!B4</f>
        <v>30000</v>
      </c>
      <c r="C4" s="17">
        <f>Sisendid!B5</f>
        <v>7.9000000000000001E-2</v>
      </c>
      <c r="D4" s="18">
        <f>Sisendid!B6</f>
        <v>84</v>
      </c>
      <c r="E4" s="16">
        <f>Sisendid!B7</f>
        <v>600</v>
      </c>
      <c r="F4" s="16">
        <f>Sisendid!$B$8</f>
        <v>3.99</v>
      </c>
      <c r="G4" s="16">
        <f>-PMT(C4/12,D4,B4)</f>
        <v>466.09319281411996</v>
      </c>
      <c r="H4" s="5">
        <f>G4+F4</f>
        <v>470.08319281411997</v>
      </c>
      <c r="I4" s="5">
        <f>H4*D4+E4</f>
        <v>40086.988196386075</v>
      </c>
      <c r="J4" s="6">
        <f>(1+RATE(D4,-H4,B4-E4))^12-1</f>
        <v>9.1668855047716935E-2</v>
      </c>
    </row>
    <row r="5" spans="1:10" x14ac:dyDescent="0.3">
      <c r="A5" t="s">
        <v>43</v>
      </c>
      <c r="B5" s="19">
        <v>8000</v>
      </c>
      <c r="C5" s="17">
        <f>Sisendid!$B$5</f>
        <v>7.9000000000000001E-2</v>
      </c>
      <c r="D5" s="18">
        <f>Sisendid!$B$6</f>
        <v>84</v>
      </c>
      <c r="E5" s="16">
        <f>Sisendid!$B$7</f>
        <v>600</v>
      </c>
      <c r="F5" s="16">
        <f>Sisendid!$B$8</f>
        <v>3.99</v>
      </c>
      <c r="G5" s="16">
        <f>-PMT(C5/12,D5,B5)</f>
        <v>124.29151808376531</v>
      </c>
      <c r="H5" s="5">
        <f>G5+F5</f>
        <v>128.28151808376532</v>
      </c>
      <c r="I5" s="5">
        <f>H5*D5+E5</f>
        <v>11375.647519036287</v>
      </c>
      <c r="J5" s="6">
        <f>(1+RATE(D5,-H5,B5-E5))^12-1</f>
        <v>0.12018829680899645</v>
      </c>
    </row>
    <row r="6" spans="1:10" x14ac:dyDescent="0.3">
      <c r="A6" t="s">
        <v>45</v>
      </c>
      <c r="B6" s="16">
        <f>Sisendid!$B$4</f>
        <v>30000</v>
      </c>
      <c r="C6" s="17">
        <f>Sisendid!$B$5</f>
        <v>7.9000000000000001E-2</v>
      </c>
      <c r="D6" s="20">
        <v>120</v>
      </c>
      <c r="E6" s="16">
        <f>Sisendid!B7</f>
        <v>600</v>
      </c>
      <c r="F6" s="16">
        <f>Sisendid!$B$8</f>
        <v>3.99</v>
      </c>
      <c r="G6" s="16">
        <f t="shared" ref="G6:G8" si="0">-PMT(C6/12,D6,B6)</f>
        <v>362.39951719855316</v>
      </c>
      <c r="H6" s="5">
        <f t="shared" ref="H6:H8" si="1">G6+F6</f>
        <v>366.38951719855316</v>
      </c>
      <c r="I6" s="5">
        <f>H6*D6+E6</f>
        <v>44566.742063826379</v>
      </c>
      <c r="J6" s="6">
        <f t="shared" ref="J5:J8" si="2">(1+RATE(D6,-H6,B6-E6))^12-1</f>
        <v>8.9676156770156945E-2</v>
      </c>
    </row>
    <row r="7" spans="1:10" x14ac:dyDescent="0.3">
      <c r="A7" t="s">
        <v>46</v>
      </c>
      <c r="B7" s="16">
        <f>Sisendid!$B$4</f>
        <v>30000</v>
      </c>
      <c r="C7" s="21">
        <v>0.11899999999999999</v>
      </c>
      <c r="D7" s="18">
        <f>Sisendid!$B$6</f>
        <v>84</v>
      </c>
      <c r="E7" s="16">
        <f>Sisendid!$B$7</f>
        <v>600</v>
      </c>
      <c r="F7" s="16">
        <f>Sisendid!$B$8</f>
        <v>3.99</v>
      </c>
      <c r="G7" s="16">
        <f t="shared" si="0"/>
        <v>527.97897772025692</v>
      </c>
      <c r="H7" s="5">
        <f t="shared" si="1"/>
        <v>531.96897772025693</v>
      </c>
      <c r="I7" s="5">
        <f>H7*D7+E7</f>
        <v>45285.394128501583</v>
      </c>
      <c r="J7" s="6">
        <f t="shared" si="2"/>
        <v>0.1360062880914612</v>
      </c>
    </row>
    <row r="8" spans="1:10" x14ac:dyDescent="0.3">
      <c r="A8" t="s">
        <v>47</v>
      </c>
      <c r="B8" s="19">
        <v>16000</v>
      </c>
      <c r="C8" s="17">
        <f>Sisendid!$B$5</f>
        <v>7.9000000000000001E-2</v>
      </c>
      <c r="D8" s="18">
        <f>Sisendid!$B$6</f>
        <v>84</v>
      </c>
      <c r="E8" s="16">
        <f>Sisendid!$B$7</f>
        <v>600</v>
      </c>
      <c r="F8" s="16">
        <f>Sisendid!$B$8</f>
        <v>3.99</v>
      </c>
      <c r="G8" s="16">
        <f t="shared" si="0"/>
        <v>248.58303616753062</v>
      </c>
      <c r="H8" s="5">
        <f t="shared" si="1"/>
        <v>252.57303616753063</v>
      </c>
      <c r="I8" s="5">
        <f>H8*D8+E8</f>
        <v>21816.135038072574</v>
      </c>
      <c r="J8" s="6">
        <f t="shared" si="2"/>
        <v>0.10045801071738691</v>
      </c>
    </row>
    <row r="10" spans="1:10" x14ac:dyDescent="0.3">
      <c r="A10" s="23" t="s">
        <v>61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0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</row>
    <row r="12" spans="1:10" x14ac:dyDescent="0.3">
      <c r="A12" s="26" t="s">
        <v>60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x14ac:dyDescent="0.3">
      <c r="A13" s="23" t="s">
        <v>56</v>
      </c>
      <c r="B13" s="24"/>
      <c r="C13" s="24"/>
      <c r="D13" s="24"/>
      <c r="E13" s="24"/>
      <c r="F13" s="24"/>
      <c r="G13" s="24"/>
      <c r="H13" s="24"/>
      <c r="I13" s="24"/>
      <c r="J13" s="24"/>
    </row>
    <row r="14" spans="1:10" x14ac:dyDescent="0.3">
      <c r="A14" s="26" t="s">
        <v>57</v>
      </c>
      <c r="B14" s="24"/>
      <c r="C14" s="24"/>
      <c r="D14" s="24"/>
      <c r="E14" s="24"/>
      <c r="F14" s="24"/>
      <c r="G14" s="24"/>
      <c r="H14" s="24"/>
      <c r="I14" s="24"/>
      <c r="J14" s="24"/>
    </row>
    <row r="15" spans="1:10" x14ac:dyDescent="0.3">
      <c r="A15" s="26" t="s">
        <v>58</v>
      </c>
      <c r="B15" s="24"/>
      <c r="C15" s="24"/>
      <c r="D15" s="24"/>
      <c r="E15" s="24"/>
      <c r="F15" s="24"/>
      <c r="G15" s="24"/>
      <c r="H15" s="24"/>
      <c r="I15" s="24"/>
      <c r="J15" s="24"/>
    </row>
    <row r="16" spans="1:10" x14ac:dyDescent="0.3">
      <c r="A16" s="26" t="s">
        <v>59</v>
      </c>
      <c r="B16" s="24"/>
      <c r="C16" s="24"/>
      <c r="D16" s="24"/>
      <c r="E16" s="24"/>
      <c r="F16" s="24"/>
      <c r="G16" s="24"/>
      <c r="H16" s="24"/>
      <c r="I16" s="25"/>
      <c r="J16" s="25"/>
    </row>
  </sheetData>
  <mergeCells count="1">
    <mergeCell ref="A1:J1"/>
  </mergeCells>
  <pageMargins left="0.7" right="0.7" top="0.75" bottom="0.75" header="0.3" footer="0.3"/>
  <pageSetup paperSize="0" orientation="portrait" horizontalDpi="203" verticalDpi="20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B12" sqref="B12"/>
    </sheetView>
  </sheetViews>
  <sheetFormatPr defaultRowHeight="14.4" x14ac:dyDescent="0.3"/>
  <cols>
    <col min="1" max="1" width="28" customWidth="1"/>
    <col min="2" max="2" width="18" customWidth="1"/>
    <col min="4" max="8" width="18" customWidth="1"/>
  </cols>
  <sheetData>
    <row r="1" spans="1:8" ht="21" x14ac:dyDescent="0.4">
      <c r="A1" s="12" t="s">
        <v>48</v>
      </c>
      <c r="B1" s="11"/>
      <c r="C1" s="11"/>
      <c r="D1" s="11"/>
      <c r="E1" s="11"/>
      <c r="F1" s="11"/>
      <c r="G1" s="11"/>
      <c r="H1" s="11"/>
    </row>
    <row r="3" spans="1:8" x14ac:dyDescent="0.3">
      <c r="A3" s="1" t="s">
        <v>49</v>
      </c>
      <c r="B3" s="1" t="s">
        <v>2</v>
      </c>
      <c r="D3" s="13" t="s">
        <v>50</v>
      </c>
      <c r="E3" s="11"/>
      <c r="F3" s="11"/>
      <c r="G3" s="11"/>
      <c r="H3" s="11"/>
    </row>
    <row r="4" spans="1:8" x14ac:dyDescent="0.3">
      <c r="A4" s="2" t="s">
        <v>4</v>
      </c>
      <c r="B4" s="5">
        <f>Sisendid!B4</f>
        <v>30000</v>
      </c>
      <c r="D4" s="22" t="s">
        <v>55</v>
      </c>
      <c r="E4" s="11"/>
      <c r="F4" s="11"/>
      <c r="G4" s="11"/>
      <c r="H4" s="11"/>
    </row>
    <row r="5" spans="1:8" x14ac:dyDescent="0.3">
      <c r="A5" s="2" t="s">
        <v>51</v>
      </c>
      <c r="B5" s="6">
        <f>Sisendid!B5</f>
        <v>7.9000000000000001E-2</v>
      </c>
      <c r="D5" s="11"/>
      <c r="E5" s="11"/>
      <c r="F5" s="11"/>
      <c r="G5" s="11"/>
      <c r="H5" s="11"/>
    </row>
    <row r="6" spans="1:8" x14ac:dyDescent="0.3">
      <c r="A6" s="2" t="s">
        <v>52</v>
      </c>
      <c r="B6" s="9">
        <f>Sisendid!B6</f>
        <v>84</v>
      </c>
      <c r="D6" s="11"/>
      <c r="E6" s="11"/>
      <c r="F6" s="11"/>
      <c r="G6" s="11"/>
      <c r="H6" s="11"/>
    </row>
    <row r="7" spans="1:8" x14ac:dyDescent="0.3">
      <c r="A7" s="2" t="s">
        <v>19</v>
      </c>
      <c r="B7" s="5">
        <f>Sisendid!B16</f>
        <v>470.08319281411997</v>
      </c>
      <c r="D7" s="11"/>
      <c r="E7" s="11"/>
      <c r="F7" s="11"/>
      <c r="G7" s="11"/>
      <c r="H7" s="11"/>
    </row>
    <row r="8" spans="1:8" x14ac:dyDescent="0.3">
      <c r="A8" s="2" t="s">
        <v>21</v>
      </c>
      <c r="B8" s="5">
        <f>Sisendid!B17</f>
        <v>40086.988196386075</v>
      </c>
      <c r="D8" s="11"/>
      <c r="E8" s="11"/>
      <c r="F8" s="11"/>
      <c r="G8" s="11"/>
      <c r="H8" s="11"/>
    </row>
    <row r="9" spans="1:8" x14ac:dyDescent="0.3">
      <c r="A9" s="2" t="s">
        <v>23</v>
      </c>
      <c r="B9" s="5">
        <f>Sisendid!B18</f>
        <v>9151.8281963860754</v>
      </c>
      <c r="D9" s="11"/>
      <c r="E9" s="11"/>
      <c r="F9" s="11"/>
      <c r="G9" s="11"/>
      <c r="H9" s="11"/>
    </row>
    <row r="10" spans="1:8" x14ac:dyDescent="0.3">
      <c r="A10" s="2" t="s">
        <v>25</v>
      </c>
      <c r="B10" s="6">
        <f>Sisendid!B19</f>
        <v>9.1668855047716935E-2</v>
      </c>
      <c r="D10" s="11"/>
      <c r="E10" s="11"/>
      <c r="F10" s="11"/>
      <c r="G10" s="11"/>
      <c r="H10" s="11"/>
    </row>
    <row r="11" spans="1:8" x14ac:dyDescent="0.3">
      <c r="A11" s="2" t="s">
        <v>27</v>
      </c>
      <c r="B11" s="6">
        <f>Sisendid!B20</f>
        <v>0.50803327712564794</v>
      </c>
    </row>
  </sheetData>
  <mergeCells count="3">
    <mergeCell ref="A1:H1"/>
    <mergeCell ref="D3:H3"/>
    <mergeCell ref="D4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Sisendid</vt:lpstr>
      <vt:lpstr>Maksegraafik</vt:lpstr>
      <vt:lpstr>Stsenaariumid</vt:lpstr>
      <vt:lpstr>Kokkuvõte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Kakumäe</dc:creator>
  <cp:lastModifiedBy>Anna Tšigrinski</cp:lastModifiedBy>
  <dcterms:created xsi:type="dcterms:W3CDTF">2026-05-03T13:22:52Z</dcterms:created>
  <dcterms:modified xsi:type="dcterms:W3CDTF">2026-05-03T13:22:52Z</dcterms:modified>
</cp:coreProperties>
</file>